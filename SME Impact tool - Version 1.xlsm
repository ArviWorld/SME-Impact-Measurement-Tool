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omments7.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Jobs\Company Resources\Climate Collective Foundation\Assignment\"/>
    </mc:Choice>
  </mc:AlternateContent>
  <xr:revisionPtr revIDLastSave="0" documentId="13_ncr:1_{D4C43D00-4910-430E-BBE4-3A21A517EA7B}" xr6:coauthVersionLast="47" xr6:coauthVersionMax="47" xr10:uidLastSave="{00000000-0000-0000-0000-000000000000}"/>
  <workbookProtection workbookAlgorithmName="SHA-512" workbookHashValue="bXORNjM98TLYhZLnyFRTTWDbT/AKF21KIDARBl9trErTbha5My8Cft7Ef9puD65smUEIk8vbELJ8br2CQG0ouQ==" workbookSaltValue="rBPuKT8dINmObJZ7eQyZ2g==" workbookSpinCount="100000" lockStructure="1"/>
  <bookViews>
    <workbookView xWindow="-110" yWindow="-110" windowWidth="19420" windowHeight="10420" tabRatio="580" firstSheet="12" activeTab="13" xr2:uid="{00000000-000D-0000-FFFF-FFFF00000000}"/>
  </bookViews>
  <sheets>
    <sheet name="About this tool" sheetId="1" r:id="rId1"/>
    <sheet name="Glossary" sheetId="19" r:id="rId2"/>
    <sheet name="Tool - Reference" sheetId="16" r:id="rId3"/>
    <sheet name="Tool - EFs &amp; Helpers" sheetId="11" r:id="rId4"/>
    <sheet name="Company - TOC" sheetId="2" r:id="rId5"/>
    <sheet name="Project Description" sheetId="15" r:id="rId6"/>
    <sheet name="Baseline Inventory" sheetId="14" r:id="rId7"/>
    <sheet name="Baseline Emissions" sheetId="7" r:id="rId8"/>
    <sheet name="Annual (or) Project Inventory" sheetId="3" r:id="rId9"/>
    <sheet name="Annual (or) Project Emissions" sheetId="9" r:id="rId10"/>
    <sheet name="GHG Impact - Annual" sheetId="20" r:id="rId11"/>
    <sheet name="GHG Impact - Baseline-Project" sheetId="8" r:id="rId12"/>
    <sheet name="Investor Inventory" sheetId="18" r:id="rId13"/>
    <sheet name="Investor Ready Impact Results" sheetId="5" r:id="rId14"/>
  </sheets>
  <externalReferences>
    <externalReference r:id="rId15"/>
  </externalReferences>
  <definedNames>
    <definedName name="_xleta.AND" hidden="1" xlm="1">#NAME?</definedName>
    <definedName name="_xleta.COUNTA" hidden="1" xlm="1">#NAME?</definedName>
    <definedName name="_xleta.IF" hidden="1" xlm="1">#NAME?</definedName>
    <definedName name="_xleta.INFO" hidden="1" xlm="1">#NAME?</definedName>
    <definedName name="_xleta.LOWER" hidden="1" xlm="1">#NAME?</definedName>
    <definedName name="_xleta.N" hidden="1" xlm="1">#NAME?</definedName>
    <definedName name="_xleta.OR" hidden="1" xlm="1">#NAME?</definedName>
    <definedName name="_xleta.SHEET" hidden="1" xlm="1">#NAME?</definedName>
    <definedName name="_xleta.SUM" hidden="1" xlm="1">#NAME?</definedName>
    <definedName name="_xleta.TYPE" hidden="1" xlm="1">#NAME?</definedName>
    <definedName name="_xleta.VALUE" hidden="1" xlm="1">#NAME?</definedName>
    <definedName name="_xleta.YEAR" hidden="1" xlm="1">#NAME?</definedName>
    <definedName name="_xlpm.r" hidden="1" xlm="1">#NAME?</definedName>
    <definedName name="climate">#REF!</definedName>
    <definedName name="equation" localSheetId="2">INDEX((#REF!,#REF!,#REF!,#REF!,#REF!),,,MATCH([0]!climate,#REF!, 0))</definedName>
    <definedName name="equation">INDEX((#REF!,#REF!,#REF!,#REF!,#REF!),,,MATCH(climate,#REF!, 0))</definedName>
    <definedName name="Material_PTypet">'Annual (or) Project Inventory'!$C$13:$D$27</definedName>
    <definedName name="time">'Project Description'!$V$16</definedName>
    <definedName name="time_cap">'Project Description'!#REF!</definedName>
    <definedName name="Vehicle_PCategory">'Annual (or) Project Inventory'!$C$51:$C$55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 i="15" l="1"/>
  <c r="Y126" i="11" s="1"/>
  <c r="H47" i="9"/>
  <c r="D31" i="8"/>
  <c r="Y122" i="11"/>
  <c r="Y123" i="11"/>
  <c r="Y125" i="11"/>
  <c r="Y127" i="11"/>
  <c r="Y128" i="11"/>
  <c r="Y129" i="11"/>
  <c r="Y130" i="11"/>
  <c r="Y131" i="11"/>
  <c r="Y132" i="11"/>
  <c r="Y133" i="11"/>
  <c r="Y134" i="11"/>
  <c r="Y135" i="11"/>
  <c r="Y136" i="11"/>
  <c r="Y137" i="11"/>
  <c r="Y121" i="11"/>
  <c r="H67" i="7"/>
  <c r="G40" i="15"/>
  <c r="Y124" i="11" s="1"/>
  <c r="G41" i="15"/>
  <c r="G42" i="15"/>
  <c r="G43" i="15"/>
  <c r="T123" i="11" a="1"/>
  <c r="T123" i="11" s="1"/>
  <c r="AR35" i="11" a="1"/>
  <c r="AR35" i="11" s="1"/>
  <c r="AS35" i="11" a="1"/>
  <c r="AS35" i="11" s="1"/>
  <c r="AT35" i="11" a="1"/>
  <c r="AT35" i="11" s="1"/>
  <c r="AR63" i="11" a="1"/>
  <c r="AR63" i="11" s="1"/>
  <c r="AS63" i="11" a="1"/>
  <c r="AS63" i="11" s="1"/>
  <c r="AT63" i="11" a="1"/>
  <c r="AT63" i="11" s="1"/>
  <c r="AR91" i="11" a="1"/>
  <c r="AR91" i="11" s="1"/>
  <c r="AS91" i="11" a="1"/>
  <c r="AS91" i="11" s="1"/>
  <c r="AT91" i="11" a="1"/>
  <c r="AT91" i="11" s="1"/>
  <c r="AR119" i="11" a="1"/>
  <c r="AR119" i="11" s="1"/>
  <c r="AS119" i="11" a="1"/>
  <c r="AS119" i="11" s="1"/>
  <c r="AT119" i="11" a="1"/>
  <c r="AT119" i="11" s="1"/>
  <c r="AR7" i="11" a="1"/>
  <c r="AR7" i="11" s="1"/>
  <c r="AT7" i="11" a="1"/>
  <c r="AT7" i="11" s="1"/>
  <c r="AS7" i="11" a="1"/>
  <c r="AS7" i="11" s="1"/>
  <c r="AO35" i="11" a="1"/>
  <c r="AO35" i="11" s="1"/>
  <c r="AP35" i="11" a="1"/>
  <c r="AP35" i="11" s="1"/>
  <c r="AQ35" i="11" a="1"/>
  <c r="AQ35" i="11" s="1"/>
  <c r="AO63" i="11" a="1"/>
  <c r="AO63" i="11" s="1"/>
  <c r="AP63" i="11" a="1"/>
  <c r="AP63" i="11" s="1"/>
  <c r="AQ63" i="11" a="1"/>
  <c r="AQ63" i="11" s="1"/>
  <c r="AO91" i="11" a="1"/>
  <c r="AO91" i="11" s="1"/>
  <c r="AP91" i="11" a="1"/>
  <c r="AP91" i="11" s="1"/>
  <c r="AQ91" i="11" a="1"/>
  <c r="AQ91" i="11" s="1"/>
  <c r="AO119" i="11" a="1"/>
  <c r="AO119" i="11" s="1"/>
  <c r="AP119" i="11" a="1"/>
  <c r="AP119" i="11" s="1"/>
  <c r="AQ119" i="11" a="1"/>
  <c r="AQ119" i="11" s="1"/>
  <c r="H21" i="5" l="1"/>
  <c r="C21" i="5"/>
  <c r="H20" i="5"/>
  <c r="C20" i="5"/>
  <c r="C19" i="5"/>
  <c r="H18" i="5"/>
  <c r="C18" i="5"/>
  <c r="H17" i="5"/>
  <c r="C17" i="5"/>
  <c r="C16" i="5"/>
  <c r="G24" i="5"/>
  <c r="B24" i="8"/>
  <c r="B8" i="2"/>
  <c r="F60" i="8"/>
  <c r="B10" i="5"/>
  <c r="C8" i="5"/>
  <c r="B8" i="5"/>
  <c r="C7" i="5"/>
  <c r="B7" i="5"/>
  <c r="C6" i="5"/>
  <c r="B6" i="5"/>
  <c r="C5" i="5"/>
  <c r="B5" i="5"/>
  <c r="C8" i="18"/>
  <c r="B8" i="18"/>
  <c r="C7" i="18"/>
  <c r="B7" i="18"/>
  <c r="C6" i="18"/>
  <c r="B6" i="18"/>
  <c r="C5" i="18"/>
  <c r="B5" i="18"/>
  <c r="B58" i="7"/>
  <c r="B59" i="7"/>
  <c r="B57" i="7"/>
  <c r="B68" i="7"/>
  <c r="B62" i="3" s="1"/>
  <c r="B69" i="7"/>
  <c r="B63" i="3" s="1"/>
  <c r="B70" i="7"/>
  <c r="B64" i="3" s="1"/>
  <c r="B67" i="7"/>
  <c r="B61" i="3" s="1"/>
  <c r="B39" i="7"/>
  <c r="B37" i="3" s="1"/>
  <c r="B33" i="7"/>
  <c r="B31" i="3" s="1"/>
  <c r="B52" i="7"/>
  <c r="B48" i="3" s="1"/>
  <c r="B64" i="7"/>
  <c r="B58" i="3" s="1"/>
  <c r="B10" i="7"/>
  <c r="B10" i="3" s="1"/>
  <c r="B10" i="9" s="1"/>
  <c r="B21" i="20" s="1"/>
  <c r="F21" i="20"/>
  <c r="B3" i="20"/>
  <c r="B5" i="20"/>
  <c r="C5" i="20"/>
  <c r="B6" i="20"/>
  <c r="C6" i="20"/>
  <c r="B7" i="20"/>
  <c r="C7" i="20"/>
  <c r="B8" i="20"/>
  <c r="C8" i="20"/>
  <c r="D10" i="20"/>
  <c r="E10" i="20"/>
  <c r="B11" i="20"/>
  <c r="B11" i="5" s="1"/>
  <c r="E16" i="20"/>
  <c r="E41" i="20"/>
  <c r="E23" i="20"/>
  <c r="E29" i="20"/>
  <c r="E35" i="20"/>
  <c r="E40" i="20"/>
  <c r="H67" i="9"/>
  <c r="F75" i="8" s="1"/>
  <c r="I55" i="9"/>
  <c r="F30" i="20" s="1"/>
  <c r="H39" i="9"/>
  <c r="H36" i="9"/>
  <c r="F52" i="8"/>
  <c r="I55" i="7"/>
  <c r="F45" i="8" s="1"/>
  <c r="H39" i="7"/>
  <c r="H36" i="7"/>
  <c r="F40" i="8" s="1"/>
  <c r="H47" i="7"/>
  <c r="H13" i="7"/>
  <c r="G38" i="15"/>
  <c r="D38" i="15"/>
  <c r="F38" i="15"/>
  <c r="B57" i="8"/>
  <c r="B26" i="8" s="1"/>
  <c r="D5" i="20" l="1"/>
  <c r="D28" i="20"/>
  <c r="D27" i="20"/>
  <c r="D25" i="20"/>
  <c r="D26" i="20"/>
  <c r="F63" i="8"/>
  <c r="F37" i="8"/>
  <c r="H31" i="5"/>
  <c r="B35" i="5"/>
  <c r="G35" i="5"/>
  <c r="F69" i="8"/>
  <c r="F36" i="20"/>
  <c r="F24" i="20"/>
  <c r="H55" i="9"/>
  <c r="C24" i="15"/>
  <c r="C23" i="15"/>
  <c r="B11" i="18"/>
  <c r="B8" i="8"/>
  <c r="C8" i="8"/>
  <c r="C7" i="8"/>
  <c r="B7" i="8"/>
  <c r="C6" i="8"/>
  <c r="B6" i="8"/>
  <c r="C5" i="8"/>
  <c r="B5" i="8"/>
  <c r="D8" i="9"/>
  <c r="C8" i="9"/>
  <c r="C7" i="9"/>
  <c r="B7" i="9"/>
  <c r="C6" i="9"/>
  <c r="B6" i="9"/>
  <c r="C5" i="9"/>
  <c r="B5" i="9"/>
  <c r="B7" i="3"/>
  <c r="C6" i="3"/>
  <c r="B6" i="3"/>
  <c r="C5" i="3"/>
  <c r="B5" i="3"/>
  <c r="C7" i="3"/>
  <c r="C8" i="3"/>
  <c r="D8" i="3"/>
  <c r="D8" i="7"/>
  <c r="E11" i="8" s="1"/>
  <c r="D10" i="5" s="1"/>
  <c r="C8" i="7"/>
  <c r="D11" i="8" s="1"/>
  <c r="C10" i="5" s="1"/>
  <c r="C7" i="7"/>
  <c r="B7" i="7"/>
  <c r="C6" i="7"/>
  <c r="B6" i="7"/>
  <c r="C5" i="7"/>
  <c r="B5" i="7"/>
  <c r="B7" i="14"/>
  <c r="B6" i="14"/>
  <c r="B5" i="14"/>
  <c r="C5" i="14"/>
  <c r="C6" i="14"/>
  <c r="C13" i="5"/>
  <c r="B30" i="18"/>
  <c r="B3" i="5"/>
  <c r="B3" i="18"/>
  <c r="B3" i="8"/>
  <c r="B3" i="9"/>
  <c r="B3" i="3"/>
  <c r="B3" i="7"/>
  <c r="B3" i="14"/>
  <c r="B12" i="18"/>
  <c r="B2" i="9"/>
  <c r="B75" i="9"/>
  <c r="B2" i="3"/>
  <c r="E21" i="15"/>
  <c r="B3" i="15"/>
  <c r="H56" i="7"/>
  <c r="H57" i="7"/>
  <c r="H58" i="7"/>
  <c r="H59" i="7"/>
  <c r="H55" i="7"/>
  <c r="I25" i="5" l="1"/>
  <c r="D25" i="5"/>
  <c r="D67" i="8"/>
  <c r="D64" i="8"/>
  <c r="D66" i="8"/>
  <c r="D65" i="8"/>
  <c r="E12" i="8"/>
  <c r="D11" i="5" s="1"/>
  <c r="E11" i="20"/>
  <c r="G34" i="3"/>
  <c r="G59" i="9"/>
  <c r="E34" i="20" s="1"/>
  <c r="D11" i="20"/>
  <c r="E25" i="5"/>
  <c r="J25" i="5"/>
  <c r="B41" i="20"/>
  <c r="B16" i="20"/>
  <c r="D5" i="8"/>
  <c r="B80" i="8"/>
  <c r="B27" i="8" s="1"/>
  <c r="G26" i="7"/>
  <c r="G22" i="7"/>
  <c r="G18" i="7"/>
  <c r="G14" i="7"/>
  <c r="G39" i="7"/>
  <c r="G40" i="7"/>
  <c r="G57" i="7"/>
  <c r="G69" i="7"/>
  <c r="G26" i="9"/>
  <c r="G22" i="9"/>
  <c r="G18" i="9"/>
  <c r="G14" i="9"/>
  <c r="G39" i="9"/>
  <c r="E24" i="20" s="1"/>
  <c r="G68" i="9"/>
  <c r="E37" i="20" s="1"/>
  <c r="G42" i="9"/>
  <c r="E27" i="20" s="1"/>
  <c r="G58" i="9"/>
  <c r="E33" i="20" s="1"/>
  <c r="G25" i="7"/>
  <c r="G21" i="7"/>
  <c r="G17" i="7"/>
  <c r="G28" i="7"/>
  <c r="G43" i="7"/>
  <c r="G55" i="7"/>
  <c r="G56" i="7"/>
  <c r="G68" i="7"/>
  <c r="G25" i="9"/>
  <c r="G21" i="9"/>
  <c r="G17" i="9"/>
  <c r="G28" i="9"/>
  <c r="E21" i="20" s="1"/>
  <c r="G67" i="9"/>
  <c r="E36" i="20" s="1"/>
  <c r="G41" i="9"/>
  <c r="E26" i="20" s="1"/>
  <c r="G57" i="9"/>
  <c r="E32" i="20" s="1"/>
  <c r="G13" i="7"/>
  <c r="G24" i="7"/>
  <c r="G20" i="7"/>
  <c r="G16" i="7"/>
  <c r="G47" i="7"/>
  <c r="G42" i="7"/>
  <c r="G59" i="7"/>
  <c r="G67" i="7"/>
  <c r="G13" i="9"/>
  <c r="G24" i="9"/>
  <c r="G20" i="9"/>
  <c r="G16" i="9"/>
  <c r="G47" i="9"/>
  <c r="E22" i="20" s="1"/>
  <c r="G70" i="9"/>
  <c r="E39" i="20" s="1"/>
  <c r="G55" i="9"/>
  <c r="E30" i="20" s="1"/>
  <c r="G40" i="9"/>
  <c r="E25" i="20" s="1"/>
  <c r="G56" i="9"/>
  <c r="E31" i="20" s="1"/>
  <c r="G65" i="3"/>
  <c r="G54" i="3"/>
  <c r="G39" i="3"/>
  <c r="G37" i="3"/>
  <c r="G15" i="3"/>
  <c r="G19" i="3"/>
  <c r="G23" i="3"/>
  <c r="G27" i="3"/>
  <c r="G62" i="3"/>
  <c r="G61" i="3"/>
  <c r="G55" i="3"/>
  <c r="G40" i="3"/>
  <c r="G16" i="3"/>
  <c r="G20" i="3"/>
  <c r="G24" i="3"/>
  <c r="G28" i="3"/>
  <c r="G53" i="3"/>
  <c r="G38" i="3"/>
  <c r="G42" i="3"/>
  <c r="G18" i="3"/>
  <c r="G26" i="3"/>
  <c r="G63" i="3"/>
  <c r="G52" i="3"/>
  <c r="G51" i="3"/>
  <c r="G41" i="3"/>
  <c r="G45" i="3"/>
  <c r="G17" i="3"/>
  <c r="G21" i="3"/>
  <c r="G25" i="3"/>
  <c r="G13" i="3"/>
  <c r="G64" i="3"/>
  <c r="G14" i="3"/>
  <c r="G22" i="3"/>
  <c r="G27" i="7"/>
  <c r="G23" i="7"/>
  <c r="G19" i="7"/>
  <c r="G15" i="7"/>
  <c r="G36" i="7"/>
  <c r="G41" i="7"/>
  <c r="G58" i="7"/>
  <c r="G70" i="7"/>
  <c r="G27" i="9"/>
  <c r="G23" i="9"/>
  <c r="G19" i="9"/>
  <c r="G15" i="9"/>
  <c r="G36" i="9"/>
  <c r="G69" i="9"/>
  <c r="E38" i="20" s="1"/>
  <c r="G43" i="9"/>
  <c r="E28" i="20" s="1"/>
  <c r="D12" i="8"/>
  <c r="C11" i="5" s="1"/>
  <c r="B12" i="8"/>
  <c r="D8" i="14"/>
  <c r="T46" i="11" a="1"/>
  <c r="T46" i="11" s="1"/>
  <c r="C25" i="15" a="1"/>
  <c r="C25" i="15" s="1"/>
  <c r="B65" i="7"/>
  <c r="B59" i="3" s="1"/>
  <c r="B53" i="7"/>
  <c r="B49" i="3" s="1"/>
  <c r="B34" i="7"/>
  <c r="B32" i="3" s="1"/>
  <c r="B11" i="7"/>
  <c r="B11" i="3" s="1"/>
  <c r="C68" i="9"/>
  <c r="C69" i="9"/>
  <c r="C70" i="9"/>
  <c r="C40" i="9"/>
  <c r="C41" i="9"/>
  <c r="C42" i="9"/>
  <c r="C43" i="9"/>
  <c r="C68" i="7"/>
  <c r="C69" i="7"/>
  <c r="C70" i="7"/>
  <c r="C40" i="7"/>
  <c r="C41" i="7"/>
  <c r="C42" i="7"/>
  <c r="C43" i="7"/>
  <c r="C27" i="15"/>
  <c r="E10" i="8"/>
  <c r="D10" i="8"/>
  <c r="AC138" i="11" a="1"/>
  <c r="AC138" i="11" s="1"/>
  <c r="F38" i="3"/>
  <c r="F39" i="3"/>
  <c r="F40" i="3"/>
  <c r="F41" i="3"/>
  <c r="F37" i="3"/>
  <c r="F37" i="14"/>
  <c r="C47" i="7"/>
  <c r="F28" i="14"/>
  <c r="C30" i="15"/>
  <c r="C29" i="15"/>
  <c r="C28" i="15"/>
  <c r="M7" i="11" a="1"/>
  <c r="M7" i="11" s="1"/>
  <c r="Q19" i="11" s="1"/>
  <c r="M10" i="11" a="1"/>
  <c r="M10" i="11" s="1"/>
  <c r="Q21" i="11" s="1"/>
  <c r="T14" i="11" a="1"/>
  <c r="T14" i="11" s="1"/>
  <c r="C7" i="14"/>
  <c r="M12" i="11" a="1"/>
  <c r="M12" i="11" s="1"/>
  <c r="T5" i="11" a="1"/>
  <c r="T5" i="11" s="1"/>
  <c r="M60" i="11" a="1"/>
  <c r="M60" i="11" s="1"/>
  <c r="M6" i="11" a="1"/>
  <c r="M6" i="11" s="1"/>
  <c r="Q18" i="11" s="1"/>
  <c r="Q125" i="11" s="1"/>
  <c r="M19" i="11" a="1"/>
  <c r="M19" i="11" s="1"/>
  <c r="M20" i="11" a="1"/>
  <c r="M20" i="11" s="1"/>
  <c r="M21" i="11" a="1"/>
  <c r="M21" i="11" s="1"/>
  <c r="M22" i="11" a="1"/>
  <c r="M22" i="11" s="1"/>
  <c r="M23" i="11" a="1"/>
  <c r="M23" i="11" s="1"/>
  <c r="M24" i="11" a="1"/>
  <c r="M24" i="11" s="1"/>
  <c r="M25" i="11" a="1"/>
  <c r="M25" i="11" s="1"/>
  <c r="M26" i="11" a="1"/>
  <c r="M26" i="11" s="1"/>
  <c r="M27" i="11" a="1"/>
  <c r="M27" i="11" s="1"/>
  <c r="M28" i="11" a="1"/>
  <c r="M28" i="11" s="1"/>
  <c r="M29" i="11" a="1"/>
  <c r="M29" i="11" s="1"/>
  <c r="M30" i="11" a="1"/>
  <c r="M30" i="11" s="1"/>
  <c r="M31" i="11" a="1"/>
  <c r="M31" i="11" s="1"/>
  <c r="M32" i="11" a="1"/>
  <c r="M32" i="11" s="1"/>
  <c r="M33" i="11" a="1"/>
  <c r="M33" i="11" s="1"/>
  <c r="M34" i="11" a="1"/>
  <c r="M34" i="11" s="1"/>
  <c r="M35" i="11" a="1"/>
  <c r="M35" i="11" s="1"/>
  <c r="M36" i="11" a="1"/>
  <c r="M36" i="11" s="1"/>
  <c r="M37" i="11" a="1"/>
  <c r="M37" i="11" s="1"/>
  <c r="M38" i="11" a="1"/>
  <c r="M38" i="11" s="1"/>
  <c r="M39" i="11" a="1"/>
  <c r="M39" i="11" s="1"/>
  <c r="M40" i="11" a="1"/>
  <c r="M40" i="11" s="1"/>
  <c r="M41" i="11" a="1"/>
  <c r="M41" i="11" s="1"/>
  <c r="M42" i="11" a="1"/>
  <c r="M42" i="11" s="1"/>
  <c r="M43" i="11" a="1"/>
  <c r="M43" i="11" s="1"/>
  <c r="M44" i="11" a="1"/>
  <c r="M44" i="11" s="1"/>
  <c r="M45" i="11" a="1"/>
  <c r="M45" i="11" s="1"/>
  <c r="M46" i="11" a="1"/>
  <c r="M46" i="11" s="1"/>
  <c r="M47" i="11" a="1"/>
  <c r="M47" i="11" s="1"/>
  <c r="M48" i="11" a="1"/>
  <c r="M48" i="11" s="1"/>
  <c r="M49" i="11" a="1"/>
  <c r="M49" i="11" s="1"/>
  <c r="M50" i="11" a="1"/>
  <c r="M50" i="11" s="1"/>
  <c r="M51" i="11" a="1"/>
  <c r="M51" i="11" s="1"/>
  <c r="M52" i="11" a="1"/>
  <c r="M52" i="11" s="1"/>
  <c r="M53" i="11" a="1"/>
  <c r="M53" i="11" s="1"/>
  <c r="M54" i="11" a="1"/>
  <c r="M54" i="11" s="1"/>
  <c r="M55" i="11" a="1"/>
  <c r="M55" i="11" s="1"/>
  <c r="M56" i="11" a="1"/>
  <c r="M56" i="11" s="1"/>
  <c r="M57" i="11" a="1"/>
  <c r="M57" i="11" s="1"/>
  <c r="M58" i="11" a="1"/>
  <c r="M58" i="11" s="1"/>
  <c r="M59" i="11" a="1"/>
  <c r="M59" i="11" s="1"/>
  <c r="M16" i="11" a="1"/>
  <c r="M16" i="11" s="1"/>
  <c r="M17" i="11" a="1"/>
  <c r="M17" i="11" s="1"/>
  <c r="M18" i="11" a="1"/>
  <c r="M18" i="11" s="1"/>
  <c r="M15" i="11" a="1"/>
  <c r="M15" i="11" s="1"/>
  <c r="M14" i="11" a="1"/>
  <c r="M14" i="11" s="1"/>
  <c r="M13" i="11" a="1"/>
  <c r="M13" i="11" s="1"/>
  <c r="M11" i="11" a="1"/>
  <c r="M11" i="11" s="1"/>
  <c r="M9" i="11" a="1"/>
  <c r="M9" i="11" s="1"/>
  <c r="M8" i="11" a="1"/>
  <c r="M8" i="11" s="1"/>
  <c r="AC120" i="11" a="1"/>
  <c r="AC120" i="11" s="1"/>
  <c r="C25" i="5" l="1"/>
  <c r="E73" i="8"/>
  <c r="F47" i="7"/>
  <c r="D38" i="8" s="1"/>
  <c r="C38" i="8"/>
  <c r="E64" i="8"/>
  <c r="E71" i="8"/>
  <c r="E66" i="8"/>
  <c r="E65" i="8"/>
  <c r="E76" i="8"/>
  <c r="E67" i="8"/>
  <c r="E78" i="8"/>
  <c r="E63" i="8"/>
  <c r="E77" i="8"/>
  <c r="E70" i="8"/>
  <c r="E72" i="8"/>
  <c r="F63" i="3"/>
  <c r="F69" i="9" s="1"/>
  <c r="F62" i="3"/>
  <c r="F68" i="9" s="1"/>
  <c r="F64" i="3"/>
  <c r="F70" i="9" s="1"/>
  <c r="F61" i="3"/>
  <c r="Q31" i="11"/>
  <c r="Q126" i="11" s="1"/>
  <c r="Q20" i="11"/>
  <c r="Q28" i="11"/>
  <c r="Q23" i="11"/>
  <c r="Q22" i="11"/>
  <c r="Q36" i="11"/>
  <c r="Q32" i="11"/>
  <c r="Q27" i="11"/>
  <c r="Q37" i="11"/>
  <c r="Q38" i="11"/>
  <c r="Q34" i="11"/>
  <c r="Q30" i="11"/>
  <c r="Q29" i="11"/>
  <c r="Q25" i="11"/>
  <c r="Q33" i="11"/>
  <c r="Q127" i="11" s="1"/>
  <c r="Q24" i="11"/>
  <c r="Q26" i="11"/>
  <c r="Q35" i="11"/>
  <c r="E72" i="9"/>
  <c r="F38" i="14"/>
  <c r="F39" i="14"/>
  <c r="F40" i="14"/>
  <c r="F41" i="14"/>
  <c r="E68" i="7"/>
  <c r="C53" i="8" s="1"/>
  <c r="E69" i="7"/>
  <c r="C54" i="8" s="1"/>
  <c r="E70" i="7"/>
  <c r="C55" i="8" s="1"/>
  <c r="E67" i="7"/>
  <c r="C67" i="9"/>
  <c r="C55" i="7"/>
  <c r="D55" i="7"/>
  <c r="E55" i="7"/>
  <c r="C56" i="7"/>
  <c r="D56" i="7"/>
  <c r="E56" i="7"/>
  <c r="C57" i="7"/>
  <c r="D57" i="7"/>
  <c r="E57" i="7"/>
  <c r="C58" i="7"/>
  <c r="D58" i="7"/>
  <c r="E58" i="7"/>
  <c r="C59" i="7"/>
  <c r="D59" i="7"/>
  <c r="F59" i="7" s="1" a="1"/>
  <c r="F59" i="7" s="1"/>
  <c r="D50" i="8" s="1"/>
  <c r="E59" i="7"/>
  <c r="E65" i="3"/>
  <c r="E42" i="3"/>
  <c r="E44" i="9" s="1"/>
  <c r="F28" i="3"/>
  <c r="F55" i="7" l="1" a="1"/>
  <c r="F55" i="7" s="1"/>
  <c r="D46" i="8" s="1"/>
  <c r="D38" i="20"/>
  <c r="D77" i="8"/>
  <c r="D39" i="20"/>
  <c r="D78" i="8"/>
  <c r="D37" i="20"/>
  <c r="D76" i="8"/>
  <c r="F56" i="7" a="1"/>
  <c r="F56" i="7" s="1"/>
  <c r="D47" i="8" s="1"/>
  <c r="F57" i="7" a="1"/>
  <c r="F57" i="7" s="1"/>
  <c r="D48" i="8" s="1"/>
  <c r="F58" i="7" a="1"/>
  <c r="F58" i="7" s="1"/>
  <c r="D49" i="8" s="1"/>
  <c r="C50" i="8"/>
  <c r="C48" i="8"/>
  <c r="C49" i="8"/>
  <c r="C46" i="8"/>
  <c r="D12" i="18"/>
  <c r="F67" i="9"/>
  <c r="F42" i="3"/>
  <c r="B65" i="9"/>
  <c r="B64" i="9"/>
  <c r="B36" i="20" s="1"/>
  <c r="B53" i="9"/>
  <c r="B52" i="9"/>
  <c r="B30" i="20" s="1"/>
  <c r="B34" i="9"/>
  <c r="B33" i="9"/>
  <c r="B24" i="20" s="1"/>
  <c r="B11" i="9"/>
  <c r="E40" i="9"/>
  <c r="C25" i="20" s="1"/>
  <c r="E41" i="9"/>
  <c r="C26" i="20" s="1"/>
  <c r="E42" i="9"/>
  <c r="C27" i="20" s="1"/>
  <c r="E43" i="9"/>
  <c r="C28" i="20" s="1"/>
  <c r="E39" i="9"/>
  <c r="C47" i="9"/>
  <c r="C22" i="20" s="1"/>
  <c r="E14" i="9"/>
  <c r="F14" i="9" s="1"/>
  <c r="E15" i="9"/>
  <c r="F15" i="9" s="1"/>
  <c r="E16" i="9"/>
  <c r="F16" i="9" s="1"/>
  <c r="E17" i="9"/>
  <c r="F17" i="9" s="1"/>
  <c r="E18" i="9"/>
  <c r="F18" i="9" s="1"/>
  <c r="E19" i="9"/>
  <c r="F19" i="9" s="1"/>
  <c r="E20" i="9"/>
  <c r="F20" i="9" s="1"/>
  <c r="E21" i="9"/>
  <c r="F21" i="9" s="1"/>
  <c r="E22" i="9"/>
  <c r="F22" i="9" s="1"/>
  <c r="E23" i="9"/>
  <c r="F23" i="9" s="1"/>
  <c r="E24" i="9"/>
  <c r="F24" i="9" s="1"/>
  <c r="E25" i="9"/>
  <c r="F25" i="9" s="1"/>
  <c r="E26" i="9"/>
  <c r="F26" i="9" s="1"/>
  <c r="E27" i="9"/>
  <c r="F27" i="9" s="1"/>
  <c r="E13" i="9"/>
  <c r="C14" i="9"/>
  <c r="C15" i="9"/>
  <c r="C16" i="9"/>
  <c r="C17" i="9"/>
  <c r="C18" i="9"/>
  <c r="C19" i="9"/>
  <c r="C20" i="9"/>
  <c r="C21" i="9"/>
  <c r="C22" i="9"/>
  <c r="C23" i="9"/>
  <c r="C24" i="9"/>
  <c r="C25" i="9"/>
  <c r="C26" i="9"/>
  <c r="C27" i="9"/>
  <c r="C13" i="9"/>
  <c r="C44" i="9"/>
  <c r="C39" i="9"/>
  <c r="B57" i="9"/>
  <c r="B58" i="9"/>
  <c r="B59" i="9"/>
  <c r="E68" i="9"/>
  <c r="C37" i="20" s="1"/>
  <c r="E69" i="9"/>
  <c r="C38" i="20" s="1"/>
  <c r="E70" i="9"/>
  <c r="C39" i="20" s="1"/>
  <c r="E67" i="9"/>
  <c r="C75" i="8" s="1"/>
  <c r="H56" i="9"/>
  <c r="H57" i="9"/>
  <c r="H58" i="9"/>
  <c r="H59" i="9"/>
  <c r="C56" i="9"/>
  <c r="D56" i="9"/>
  <c r="E56" i="9"/>
  <c r="C57" i="9"/>
  <c r="D57" i="9"/>
  <c r="E57" i="9"/>
  <c r="C58" i="9"/>
  <c r="D58" i="9"/>
  <c r="E58" i="9"/>
  <c r="C59" i="9"/>
  <c r="D59" i="9"/>
  <c r="E59" i="9"/>
  <c r="D55" i="9"/>
  <c r="E55" i="9"/>
  <c r="C55" i="9"/>
  <c r="E65" i="14"/>
  <c r="E72" i="7" s="1"/>
  <c r="C67" i="7"/>
  <c r="C52" i="8" s="1"/>
  <c r="E40" i="7"/>
  <c r="C41" i="8" s="1"/>
  <c r="E41" i="7"/>
  <c r="C42" i="8" s="1"/>
  <c r="E42" i="7"/>
  <c r="C43" i="8" s="1"/>
  <c r="E43" i="7"/>
  <c r="C44" i="8" s="1"/>
  <c r="E39" i="7"/>
  <c r="F40" i="7"/>
  <c r="D41" i="8" s="1"/>
  <c r="F41" i="7"/>
  <c r="D42" i="8" s="1"/>
  <c r="F42" i="7"/>
  <c r="D43" i="8" s="1"/>
  <c r="F43" i="7"/>
  <c r="D44" i="8" s="1"/>
  <c r="C39" i="7"/>
  <c r="E14" i="7"/>
  <c r="F14" i="7" s="1"/>
  <c r="E15" i="7"/>
  <c r="F15" i="7" s="1"/>
  <c r="E16" i="7"/>
  <c r="F16" i="7" s="1"/>
  <c r="E17" i="7"/>
  <c r="F17" i="7" s="1"/>
  <c r="E18" i="7"/>
  <c r="F18" i="7" s="1"/>
  <c r="E19" i="7"/>
  <c r="F19" i="7" s="1"/>
  <c r="E20" i="7"/>
  <c r="F20" i="7" s="1"/>
  <c r="E21" i="7"/>
  <c r="F21" i="7" s="1"/>
  <c r="E22" i="7"/>
  <c r="F22" i="7" s="1"/>
  <c r="E23" i="7"/>
  <c r="F23" i="7" s="1"/>
  <c r="E24" i="7"/>
  <c r="F24" i="7" s="1"/>
  <c r="E25" i="7"/>
  <c r="F25" i="7" s="1"/>
  <c r="E26" i="7"/>
  <c r="F26" i="7" s="1"/>
  <c r="E27" i="7"/>
  <c r="F27" i="7" s="1"/>
  <c r="E13" i="7"/>
  <c r="F13" i="7" s="1"/>
  <c r="C14" i="7"/>
  <c r="C15" i="7"/>
  <c r="C16" i="7"/>
  <c r="C17" i="7"/>
  <c r="C18" i="7"/>
  <c r="C19" i="7"/>
  <c r="C20" i="7"/>
  <c r="C21" i="7"/>
  <c r="C22" i="7"/>
  <c r="C23" i="7"/>
  <c r="C24" i="7"/>
  <c r="C25" i="7"/>
  <c r="C26" i="7"/>
  <c r="C27" i="7"/>
  <c r="C13" i="7"/>
  <c r="D36" i="20" l="1"/>
  <c r="D75" i="8"/>
  <c r="F56" i="9" a="1"/>
  <c r="F56" i="9" s="1"/>
  <c r="F55" i="9" a="1"/>
  <c r="F55" i="9" s="1"/>
  <c r="F57" i="9" a="1"/>
  <c r="F57" i="9" s="1"/>
  <c r="F58" i="9" a="1"/>
  <c r="F58" i="9" s="1"/>
  <c r="F59" i="9" a="1"/>
  <c r="F59" i="9" s="1"/>
  <c r="C32" i="20"/>
  <c r="C24" i="20"/>
  <c r="C30" i="20"/>
  <c r="C34" i="20"/>
  <c r="C33" i="20"/>
  <c r="C36" i="20"/>
  <c r="C73" i="8"/>
  <c r="C65" i="8"/>
  <c r="C78" i="8"/>
  <c r="C72" i="8"/>
  <c r="C64" i="8"/>
  <c r="C77" i="8"/>
  <c r="C71" i="8"/>
  <c r="C67" i="8"/>
  <c r="C76" i="8"/>
  <c r="C66" i="8"/>
  <c r="F39" i="7"/>
  <c r="D40" i="8" s="1"/>
  <c r="C40" i="8"/>
  <c r="C61" i="8"/>
  <c r="F39" i="9"/>
  <c r="C63" i="8"/>
  <c r="C69" i="8"/>
  <c r="D11" i="18"/>
  <c r="F72" i="9"/>
  <c r="C12" i="18"/>
  <c r="F47" i="9"/>
  <c r="F61" i="7"/>
  <c r="D51" i="8" s="1"/>
  <c r="F13" i="9"/>
  <c r="F28" i="9" s="1"/>
  <c r="E44" i="7"/>
  <c r="F28" i="7"/>
  <c r="D37" i="8" s="1"/>
  <c r="F65" i="3"/>
  <c r="D34" i="20" l="1"/>
  <c r="D73" i="8"/>
  <c r="D33" i="20"/>
  <c r="D72" i="8"/>
  <c r="D32" i="20"/>
  <c r="D71" i="8"/>
  <c r="D24" i="20"/>
  <c r="D63" i="8"/>
  <c r="D31" i="20"/>
  <c r="D70" i="8"/>
  <c r="D30" i="20"/>
  <c r="D69" i="8"/>
  <c r="D60" i="8"/>
  <c r="D21" i="20"/>
  <c r="D61" i="8"/>
  <c r="D22" i="20"/>
  <c r="D40" i="20"/>
  <c r="D79" i="8"/>
  <c r="F31" i="9"/>
  <c r="D34" i="18"/>
  <c r="D36" i="18"/>
  <c r="D40" i="18"/>
  <c r="D35" i="18"/>
  <c r="F30" i="7"/>
  <c r="D39" i="8" s="1"/>
  <c r="F36" i="7"/>
  <c r="F36" i="9"/>
  <c r="F49" i="9" s="1"/>
  <c r="E75" i="8"/>
  <c r="E60" i="8"/>
  <c r="E79" i="8"/>
  <c r="E69" i="8"/>
  <c r="E62" i="8"/>
  <c r="E68" i="8"/>
  <c r="E74" i="8"/>
  <c r="E61" i="8"/>
  <c r="F61" i="9"/>
  <c r="E80" i="8"/>
  <c r="D35" i="20" l="1"/>
  <c r="D74" i="8"/>
  <c r="D62" i="8"/>
  <c r="D23" i="20"/>
  <c r="D68" i="8"/>
  <c r="D29" i="20"/>
  <c r="F49" i="7"/>
  <c r="D45" i="8" s="1"/>
  <c r="F75" i="9"/>
  <c r="D80" i="8" l="1"/>
  <c r="D27" i="8" s="1"/>
  <c r="D41" i="20"/>
  <c r="D16" i="20" s="1"/>
  <c r="C26" i="5"/>
  <c r="AQ7" i="11" a="1"/>
  <c r="AQ7" i="11" s="1"/>
  <c r="AP7" i="11" a="1"/>
  <c r="AP7" i="11" s="1"/>
  <c r="AO7" i="11" a="1"/>
  <c r="AO7" i="11" s="1"/>
  <c r="AF253" i="11" a="1"/>
  <c r="AF253" i="11" s="1"/>
  <c r="AF235" i="11" a="1"/>
  <c r="AF235" i="11" s="1"/>
  <c r="AF217" i="11" a="1"/>
  <c r="AF217" i="11" s="1"/>
  <c r="AF199" i="11" a="1"/>
  <c r="AF199" i="11" s="1"/>
  <c r="AF181" i="11" a="1"/>
  <c r="AF181" i="11" s="1"/>
  <c r="AF163" i="11" a="1"/>
  <c r="AF163" i="11" s="1"/>
  <c r="AF145" i="11" a="1"/>
  <c r="AF145" i="11" s="1"/>
  <c r="AF127" i="11" a="1"/>
  <c r="AF127" i="11" s="1"/>
  <c r="AF109" i="11" a="1"/>
  <c r="AF109" i="11" s="1"/>
  <c r="AF92" i="11" a="1"/>
  <c r="AF92" i="11" s="1"/>
  <c r="AF75" i="11" a="1"/>
  <c r="AF75" i="11" s="1"/>
  <c r="AF58" i="11" a="1"/>
  <c r="AF58" i="11" s="1"/>
  <c r="AF41" i="11" a="1"/>
  <c r="AF41" i="11" s="1"/>
  <c r="AF23" i="11" a="1"/>
  <c r="AF23" i="11" s="1"/>
  <c r="AF6" i="11" a="1"/>
  <c r="AF6" i="11" s="1"/>
  <c r="AE23" i="11" a="1"/>
  <c r="AE23" i="11" s="1"/>
  <c r="AE41" i="11" a="1"/>
  <c r="AE41" i="11" s="1"/>
  <c r="AE58" i="11" a="1"/>
  <c r="AE58" i="11" s="1"/>
  <c r="AE75" i="11" a="1"/>
  <c r="AE75" i="11" s="1"/>
  <c r="AE92" i="11" a="1"/>
  <c r="AE92" i="11" s="1"/>
  <c r="AE109" i="11" a="1"/>
  <c r="AE109" i="11" s="1"/>
  <c r="AE127" i="11" a="1"/>
  <c r="AE127" i="11" s="1"/>
  <c r="AE145" i="11" a="1"/>
  <c r="AE145" i="11" s="1"/>
  <c r="AE163" i="11" a="1"/>
  <c r="AE163" i="11" s="1"/>
  <c r="AE181" i="11" a="1"/>
  <c r="AE181" i="11" s="1"/>
  <c r="AE199" i="11" a="1"/>
  <c r="AE199" i="11" s="1"/>
  <c r="AE217" i="11" a="1"/>
  <c r="AE217" i="11" s="1"/>
  <c r="AE253" i="11" a="1"/>
  <c r="AE253" i="11" s="1"/>
  <c r="AE235" i="11" a="1"/>
  <c r="AE235" i="11" s="1"/>
  <c r="AD253" i="11" a="1"/>
  <c r="AD253" i="11" s="1"/>
  <c r="AD235" i="11" a="1"/>
  <c r="AD235" i="11" s="1"/>
  <c r="AD217" i="11" a="1"/>
  <c r="AD217" i="11" s="1"/>
  <c r="AD199" i="11" a="1"/>
  <c r="AD199" i="11" s="1"/>
  <c r="AD181" i="11" a="1"/>
  <c r="AD181" i="11" s="1"/>
  <c r="AD163" i="11" a="1"/>
  <c r="AD163" i="11" s="1"/>
  <c r="AD145" i="11" a="1"/>
  <c r="AD145" i="11" s="1"/>
  <c r="AD127" i="11" a="1"/>
  <c r="AD127" i="11" s="1"/>
  <c r="AD109" i="11" a="1"/>
  <c r="AD109" i="11" s="1"/>
  <c r="AD92" i="11" a="1"/>
  <c r="AD92" i="11" s="1"/>
  <c r="AD75" i="11" a="1"/>
  <c r="AD75" i="11" s="1"/>
  <c r="AD58" i="11" a="1"/>
  <c r="AD58" i="11" s="1"/>
  <c r="AD41" i="11" a="1"/>
  <c r="AD41" i="11" s="1"/>
  <c r="AD23" i="11" a="1"/>
  <c r="AD23" i="11" s="1"/>
  <c r="AE6" i="11" a="1"/>
  <c r="AE6" i="11" s="1"/>
  <c r="G5" i="11" a="1"/>
  <c r="G5" i="11" s="1"/>
  <c r="AD6" i="11" a="1"/>
  <c r="AD6" i="11" s="1"/>
  <c r="H5" i="11" a="1"/>
  <c r="H5" i="11" s="1"/>
  <c r="F5" i="11" a="1"/>
  <c r="F5" i="11" s="1"/>
  <c r="H27" i="5" l="1"/>
  <c r="I27" i="5" s="1"/>
  <c r="D26" i="5"/>
  <c r="B37" i="5" s="1"/>
  <c r="E26" i="5"/>
  <c r="B38" i="5" s="1"/>
  <c r="B36" i="5"/>
  <c r="E42" i="14"/>
  <c r="C8" i="14"/>
  <c r="J27" i="5" l="1"/>
  <c r="B52" i="14"/>
  <c r="B56" i="7" s="1"/>
  <c r="B28" i="14"/>
  <c r="B28" i="7" s="1"/>
  <c r="B28" i="3" s="1"/>
  <c r="B51" i="14"/>
  <c r="B55" i="7" s="1"/>
  <c r="B51" i="3" s="1"/>
  <c r="B13" i="14"/>
  <c r="B13" i="7" s="1"/>
  <c r="B13" i="3" s="1"/>
  <c r="B45" i="14"/>
  <c r="B47" i="7" s="1"/>
  <c r="B45" i="3" s="1"/>
  <c r="G13" i="14"/>
  <c r="B34" i="14"/>
  <c r="B36" i="7" s="1"/>
  <c r="B34" i="3" s="1"/>
  <c r="G63" i="14"/>
  <c r="G52" i="14"/>
  <c r="G38" i="14"/>
  <c r="G37" i="14"/>
  <c r="G15" i="14"/>
  <c r="G19" i="14"/>
  <c r="G23" i="14"/>
  <c r="G27" i="14"/>
  <c r="G64" i="14"/>
  <c r="G53" i="14"/>
  <c r="G39" i="14"/>
  <c r="G34" i="14"/>
  <c r="G16" i="14"/>
  <c r="G20" i="14"/>
  <c r="G24" i="14"/>
  <c r="G28" i="14"/>
  <c r="G65" i="14"/>
  <c r="G61" i="14"/>
  <c r="G54" i="14"/>
  <c r="G40" i="14"/>
  <c r="G45" i="14"/>
  <c r="G17" i="14"/>
  <c r="G21" i="14"/>
  <c r="G25" i="14"/>
  <c r="G62" i="14"/>
  <c r="G55" i="14"/>
  <c r="G51" i="14"/>
  <c r="G41" i="14"/>
  <c r="G14" i="14"/>
  <c r="G18" i="14"/>
  <c r="G22" i="14"/>
  <c r="G26" i="14"/>
  <c r="F62" i="14"/>
  <c r="F68" i="7" s="1"/>
  <c r="D53" i="8" s="1"/>
  <c r="F64" i="14"/>
  <c r="F70" i="7" s="1"/>
  <c r="D55" i="8" s="1"/>
  <c r="F61" i="14"/>
  <c r="F63" i="14"/>
  <c r="F69" i="7" s="1"/>
  <c r="D54" i="8" s="1"/>
  <c r="B52" i="3" l="1"/>
  <c r="B56" i="9" s="1"/>
  <c r="C47" i="8"/>
  <c r="F67" i="7"/>
  <c r="D52" i="8" s="1"/>
  <c r="F65" i="14"/>
  <c r="C11" i="18"/>
  <c r="D24" i="18" l="1"/>
  <c r="D28" i="18"/>
  <c r="D22" i="18"/>
  <c r="D23" i="18"/>
  <c r="C70" i="8"/>
  <c r="C31" i="20"/>
  <c r="F72" i="7"/>
  <c r="D56" i="8" s="1"/>
  <c r="F75" i="7" l="1"/>
  <c r="D57" i="8" l="1"/>
  <c r="D26" i="8" s="1"/>
  <c r="D29" i="8" s="1"/>
  <c r="D32" i="8" s="1"/>
  <c r="H26" i="5" l="1"/>
  <c r="H29" i="5" s="1"/>
  <c r="H32" i="5" s="1"/>
  <c r="G36" i="5" s="1"/>
  <c r="J26" i="5" l="1"/>
  <c r="J29" i="5" s="1"/>
  <c r="J32" i="5" s="1"/>
  <c r="G38" i="5" s="1"/>
  <c r="I26" i="5"/>
  <c r="I29" i="5" s="1"/>
  <c r="I32" i="5" s="1"/>
  <c r="G37"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D4" authorId="0" shapeId="0" xr:uid="{FEBCD89C-EB30-4D4B-8551-2A1E96DCC703}">
      <text>
        <r>
          <rPr>
            <b/>
            <sz val="12"/>
            <color indexed="81"/>
            <rFont val="Times New Roman"/>
            <family val="1"/>
          </rPr>
          <t>Administrator:</t>
        </r>
        <r>
          <rPr>
            <sz val="12"/>
            <color indexed="81"/>
            <rFont val="Times New Roman"/>
            <family val="1"/>
          </rPr>
          <t xml:space="preserve">
This cell contains specific notes and instructions relating the terminology</t>
        </r>
      </text>
    </comment>
    <comment ref="B11" authorId="0" shapeId="0" xr:uid="{CE9F962D-B80C-4EEA-B1DE-3960752D1BB0}">
      <text>
        <r>
          <rPr>
            <b/>
            <sz val="12"/>
            <color indexed="81"/>
            <rFont val="Times New Roman"/>
            <family val="1"/>
          </rPr>
          <t>Administrator:</t>
        </r>
        <r>
          <rPr>
            <sz val="12"/>
            <color indexed="81"/>
            <rFont val="Times New Roman"/>
            <family val="1"/>
          </rPr>
          <t xml:space="preserve">
This is the Organization implementing the project.</t>
        </r>
      </text>
    </comment>
    <comment ref="E20" authorId="0" shapeId="0" xr:uid="{2F3A2220-B6F8-4797-B598-143B1BEBB20E}">
      <text>
        <r>
          <rPr>
            <b/>
            <sz val="12"/>
            <color indexed="81"/>
            <rFont val="Times New Roman"/>
            <family val="1"/>
          </rPr>
          <t>Administrator:</t>
        </r>
        <r>
          <rPr>
            <sz val="12"/>
            <color indexed="81"/>
            <rFont val="Times New Roman"/>
            <family val="1"/>
          </rPr>
          <t xml:space="preserve">
If Scope selected is "Annual Reporting", then please manually enter 'XXX' in this cell</t>
        </r>
      </text>
    </comment>
    <comment ref="B21" authorId="0" shapeId="0" xr:uid="{99D21AB2-89F7-43E8-BA55-D764DD077097}">
      <text>
        <r>
          <rPr>
            <b/>
            <sz val="12"/>
            <color indexed="81"/>
            <rFont val="Times New Roman"/>
            <family val="1"/>
          </rPr>
          <t>Administrator:</t>
        </r>
        <r>
          <rPr>
            <sz val="12"/>
            <color indexed="81"/>
            <rFont val="Times New Roman"/>
            <family val="1"/>
          </rPr>
          <t xml:space="preserve">
Please select the relevant IPCC GWP Assessment Report that best fits your scope. If not sure, please select the IPCC GWP Fourth Assessment Report because most of the peer-reviewed LCAs and impact measurements uses this. 
You can check out the values of the IPCC GWP Assessment Report values in below table</t>
        </r>
      </text>
    </comment>
    <comment ref="B24" authorId="0" shapeId="0" xr:uid="{CD9C42CE-E9C0-4D3D-B921-BB51D3EB4301}">
      <text>
        <r>
          <rPr>
            <b/>
            <sz val="12"/>
            <color indexed="81"/>
            <rFont val="Times New Roman"/>
            <family val="1"/>
          </rPr>
          <t>Administrator:</t>
        </r>
        <r>
          <rPr>
            <sz val="12"/>
            <color indexed="81"/>
            <rFont val="Times New Roman"/>
            <family val="1"/>
          </rPr>
          <t xml:space="preserve">
Please fill the impact measurement tool based on the scope instructions. </t>
        </r>
      </text>
    </comment>
    <comment ref="B25" authorId="0" shapeId="0" xr:uid="{46F2D264-566B-44CF-8CEF-F66239071A0E}">
      <text>
        <r>
          <rPr>
            <b/>
            <sz val="12"/>
            <color indexed="81"/>
            <rFont val="Times New Roman"/>
            <family val="1"/>
          </rPr>
          <t>Administrator:</t>
        </r>
        <r>
          <rPr>
            <sz val="12"/>
            <color indexed="81"/>
            <rFont val="Times New Roman"/>
            <family val="1"/>
          </rPr>
          <t xml:space="preserve">
Please refer the picture in the right for reference to the corresponding LCA Boundary. (LCA, Sustainable Solutions Corporation)</t>
        </r>
      </text>
    </comment>
    <comment ref="C37" authorId="0" shapeId="0" xr:uid="{346C23FB-B68B-4068-B846-90EBE3693A52}">
      <text>
        <r>
          <rPr>
            <b/>
            <sz val="12"/>
            <color indexed="81"/>
            <rFont val="Times New Roman"/>
            <family val="1"/>
          </rPr>
          <t>Administrator:</t>
        </r>
        <r>
          <rPr>
            <sz val="12"/>
            <color indexed="81"/>
            <rFont val="Times New Roman"/>
            <family val="1"/>
          </rPr>
          <t xml:space="preserve">
Only choose Fuel type and fill its quantity if there are any on-farm activities involved for residue collection and processing (such as cutting, baling, etc). If you know the specific power source, then select it or always select Diesel. 
Important Note: Keep the Fuel type "Manual", if the collection and processing is done manually or by third party. If data unavailable, by default, choose "Manual". </t>
        </r>
      </text>
    </comment>
    <comment ref="E37" authorId="0" shapeId="0" xr:uid="{7CF19FE9-3A11-4627-AE39-C57CC216531E}">
      <text>
        <r>
          <rPr>
            <b/>
            <sz val="12"/>
            <color indexed="81"/>
            <rFont val="Times New Roman"/>
            <family val="1"/>
          </rPr>
          <t>Administrator:</t>
        </r>
        <r>
          <rPr>
            <sz val="12"/>
            <color indexed="81"/>
            <rFont val="Times New Roman"/>
            <family val="1"/>
          </rPr>
          <t xml:space="preserve">
Choose the vehicle type for transport. If unsure of the vehicle type, choose Light-duty Truck(LDV &lt;3.5T).
Enter the distance only between the residue collection and the farm gate, if available. Otherwise fill in a conservative distance between the residue collection point and farm gate. </t>
        </r>
      </text>
    </comment>
    <comment ref="E38" authorId="0" shapeId="0" xr:uid="{AE765D1B-9250-439A-8846-F71E83FD9A3F}">
      <text>
        <r>
          <rPr>
            <b/>
            <sz val="12"/>
            <color indexed="81"/>
            <rFont val="Times New Roman"/>
            <family val="1"/>
          </rPr>
          <t xml:space="preserve">Administrator:
</t>
        </r>
        <r>
          <rPr>
            <sz val="12"/>
            <color indexed="81"/>
            <rFont val="Times New Roman"/>
            <family val="1"/>
          </rPr>
          <t>Choose according to the vehicle type and use. Just go for Rigid HGV (&gt; 3.5 – 7.5 t)</t>
        </r>
        <r>
          <rPr>
            <b/>
            <sz val="12"/>
            <color indexed="81"/>
            <rFont val="Times New Roman"/>
            <family val="1"/>
          </rPr>
          <t xml:space="preserve">
Rigid HGVs:</t>
        </r>
        <r>
          <rPr>
            <sz val="12"/>
            <color indexed="81"/>
            <rFont val="Times New Roman"/>
            <family val="1"/>
          </rPr>
          <t xml:space="preserve">
Use Rigid HGVs when freight is moved over short to medium distances, involves urban or regional distribution, or when access constraints limit the use of larger vehicles. (e.g.) Tata 407, Ashok Leyland Ecomet, Volvo FL/FM (rigid configuration).
</t>
        </r>
        <r>
          <rPr>
            <b/>
            <sz val="12"/>
            <color indexed="81"/>
            <rFont val="Times New Roman"/>
            <family val="1"/>
          </rPr>
          <t xml:space="preserve">
Articualted (HGVs):</t>
        </r>
        <r>
          <rPr>
            <sz val="12"/>
            <color indexed="81"/>
            <rFont val="Times New Roman"/>
            <family val="1"/>
          </rPr>
          <t xml:space="preserve">
Use Articulated HGVs when freight is transported over long distances, moved in large volumes, or where logistics are organised through hub-to-hub or port-based transport. (e.g.) Volvo FH + semi-trailer, Scania R-series, container haulage trucks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12" authorId="0" shapeId="0" xr:uid="{00A46BDA-399E-4C7F-8E7D-7F8B20FDBAD2}">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H33" authorId="0" shapeId="0" xr:uid="{13C0F204-5078-40E4-A87B-24BC7205E919}">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H36" authorId="0" shapeId="0" xr:uid="{DBD955F7-4A7B-40FD-A954-607FE113C69F}">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E42" authorId="0" shapeId="0" xr:uid="{090FCA79-48E7-456D-95AE-EAFE8AE3A3EF}">
      <text>
        <r>
          <rPr>
            <b/>
            <sz val="12"/>
            <color indexed="81"/>
            <rFont val="Times New Roman"/>
            <family val="1"/>
          </rPr>
          <t>Administrator:</t>
        </r>
        <r>
          <rPr>
            <sz val="12"/>
            <color indexed="81"/>
            <rFont val="Times New Roman"/>
            <family val="1"/>
          </rPr>
          <t xml:space="preserve">
Sum/Total must be equal to 100%</t>
        </r>
      </text>
    </comment>
    <comment ref="H44" authorId="0" shapeId="0" xr:uid="{A594CC6F-F9EF-4426-905B-76095070516F}">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D50" authorId="0" shapeId="0" xr:uid="{C111C5E4-6AA8-41AC-A246-2118F34F8385}">
      <text>
        <r>
          <rPr>
            <b/>
            <sz val="12"/>
            <color indexed="81"/>
            <rFont val="Times New Roman"/>
            <family val="1"/>
          </rPr>
          <t xml:space="preserve">Administrator:
</t>
        </r>
        <r>
          <rPr>
            <sz val="12"/>
            <color indexed="81"/>
            <rFont val="Times New Roman"/>
            <family val="1"/>
          </rPr>
          <t>Choose according to the vehicle type and use. Just go for Rigid HGV (&gt; 3.5 – 7.5 t)</t>
        </r>
        <r>
          <rPr>
            <b/>
            <sz val="12"/>
            <color indexed="81"/>
            <rFont val="Times New Roman"/>
            <family val="1"/>
          </rPr>
          <t xml:space="preserve">
Rigid HGVs:</t>
        </r>
        <r>
          <rPr>
            <sz val="12"/>
            <color indexed="81"/>
            <rFont val="Times New Roman"/>
            <family val="1"/>
          </rPr>
          <t xml:space="preserve">
Use Rigid HGVs when freight is moved over short to medium distances, involves urban or regional distribution, or when access constraints limit the use of larger vehicles. (e.g.) Tata 407, Ashok Leyland Ecomet, Volvo FL/FM (rigid configuration).
</t>
        </r>
        <r>
          <rPr>
            <b/>
            <sz val="12"/>
            <color indexed="81"/>
            <rFont val="Times New Roman"/>
            <family val="1"/>
          </rPr>
          <t xml:space="preserve">
Articualted (HGVs):</t>
        </r>
        <r>
          <rPr>
            <sz val="12"/>
            <color indexed="81"/>
            <rFont val="Times New Roman"/>
            <family val="1"/>
          </rPr>
          <t xml:space="preserve">
Use Articulated HGVs when freight is transported over long distances, moved in large volumes, or where logistics are organised through hub-to-hub or port-based transport. (e.g.) Volvo FH + semi-trailer, Scania R-series, container haulage trucks</t>
        </r>
      </text>
    </comment>
    <comment ref="I50" authorId="0" shapeId="0" xr:uid="{00404267-B90D-468B-8375-B2D4E7BBE0F0}">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F60" authorId="0" shapeId="0" xr:uid="{DEF9321E-B848-4753-AC4C-75DE7714278A}">
      <text>
        <r>
          <rPr>
            <b/>
            <sz val="12"/>
            <color indexed="81"/>
            <rFont val="Times New Roman"/>
            <family val="1"/>
          </rPr>
          <t>Administrator:</t>
        </r>
        <r>
          <rPr>
            <sz val="12"/>
            <color indexed="81"/>
            <rFont val="Times New Roman"/>
            <family val="1"/>
          </rPr>
          <t xml:space="preserve">
Availabel only if the system boundary is "Cradle-to-Grave" which includes End of Life Treatment within its boundary. The total should be equal to the FU.</t>
        </r>
      </text>
    </comment>
    <comment ref="H60" authorId="0" shapeId="0" xr:uid="{EF1E7E76-6C2E-48D4-9972-D04BFE0FAEE1}">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E65" authorId="0" shapeId="0" xr:uid="{6805DBFA-A5A3-4640-88CA-4C2CC185AB48}">
      <text>
        <r>
          <rPr>
            <b/>
            <sz val="12"/>
            <color indexed="81"/>
            <rFont val="Times New Roman"/>
            <family val="1"/>
          </rPr>
          <t>Administrator:</t>
        </r>
        <r>
          <rPr>
            <sz val="12"/>
            <color indexed="81"/>
            <rFont val="Times New Roman"/>
            <family val="1"/>
          </rPr>
          <t xml:space="preserve">
Sum/Total should be equal to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F66" authorId="0" shapeId="0" xr:uid="{47C283D4-ED6E-4F16-8C88-4FAA0FF72C21}">
      <text>
        <r>
          <rPr>
            <b/>
            <sz val="12"/>
            <color indexed="81"/>
            <rFont val="Times New Roman"/>
            <family val="1"/>
          </rPr>
          <t>Administrator:</t>
        </r>
        <r>
          <rPr>
            <sz val="12"/>
            <color indexed="81"/>
            <rFont val="Times New Roman"/>
            <family val="1"/>
          </rPr>
          <t xml:space="preserve">
Availabel only if the system boundary is "Cradle-to-Grave" which includes End of Life Treatment within its boundary.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12" authorId="0" shapeId="0" xr:uid="{123D6CE6-2DE7-416A-B6AB-7285EC286B42}">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H33" authorId="0" shapeId="0" xr:uid="{FBC5BEF6-7F3F-4F99-950F-4E4792293864}">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H36" authorId="0" shapeId="0" xr:uid="{13416A30-D96D-4321-B437-34C62841FE9A}">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E42" authorId="0" shapeId="0" xr:uid="{125AEACC-ACFF-44DB-90DA-153573AB6F62}">
      <text>
        <r>
          <rPr>
            <b/>
            <sz val="12"/>
            <color indexed="81"/>
            <rFont val="Times New Roman"/>
            <family val="1"/>
          </rPr>
          <t xml:space="preserve">Administrator:
</t>
        </r>
        <r>
          <rPr>
            <sz val="12"/>
            <color indexed="81"/>
            <rFont val="Times New Roman"/>
            <family val="1"/>
          </rPr>
          <t>Sum/Total must be equal to 100%</t>
        </r>
        <r>
          <rPr>
            <sz val="9"/>
            <color indexed="81"/>
            <rFont val="Tahoma"/>
            <family val="2"/>
          </rPr>
          <t xml:space="preserve">
</t>
        </r>
      </text>
    </comment>
    <comment ref="H44" authorId="0" shapeId="0" xr:uid="{8D8719E9-C1FE-494B-B92F-67D1F0D022A7}">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I50" authorId="0" shapeId="0" xr:uid="{91B631E2-F02B-443C-9546-30AE0C294506}">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F60" authorId="0" shapeId="0" xr:uid="{113DD059-853C-452A-A8B9-8D4EB0D4AD7E}">
      <text>
        <r>
          <rPr>
            <b/>
            <sz val="12"/>
            <color indexed="81"/>
            <rFont val="Times New Roman"/>
            <family val="1"/>
          </rPr>
          <t xml:space="preserve">Administrator:
</t>
        </r>
        <r>
          <rPr>
            <sz val="12"/>
            <color indexed="81"/>
            <rFont val="Times New Roman"/>
            <family val="1"/>
          </rPr>
          <t>Availabel only if the system boundary is "Cradle-to-Grave" which includes End of Life Treatment within its boundary.</t>
        </r>
      </text>
    </comment>
    <comment ref="H60" authorId="0" shapeId="0" xr:uid="{B38677EE-4106-4A15-B64E-073B686D1532}">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E65" authorId="0" shapeId="0" xr:uid="{0BE0070E-BEAA-425E-8319-57D4F32B481F}">
      <text>
        <r>
          <rPr>
            <b/>
            <sz val="12"/>
            <color indexed="81"/>
            <rFont val="Times New Roman"/>
            <family val="1"/>
          </rPr>
          <t>Administrator:</t>
        </r>
        <r>
          <rPr>
            <sz val="12"/>
            <color indexed="81"/>
            <rFont val="Times New Roman"/>
            <family val="1"/>
          </rPr>
          <t xml:space="preserve">
Sum/Total must be equal to 100%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F66" authorId="0" shapeId="0" xr:uid="{5846FA14-9A64-4D29-8900-557AAF2AD226}">
      <text>
        <r>
          <rPr>
            <b/>
            <sz val="12"/>
            <color indexed="81"/>
            <rFont val="Times New Roman"/>
            <family val="1"/>
          </rPr>
          <t xml:space="preserve">Administrator:
</t>
        </r>
        <r>
          <rPr>
            <sz val="12"/>
            <color indexed="81"/>
            <rFont val="Times New Roman"/>
            <family val="1"/>
          </rPr>
          <t>Availabel only if the system boundary is "Cradle-to-Grave" which includes End of Life Treatment within its boundary.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D15" authorId="0" shapeId="0" xr:uid="{A2BD3411-D5B8-4535-847F-51EA4C31D180}">
      <text>
        <r>
          <rPr>
            <b/>
            <sz val="12"/>
            <color indexed="81"/>
            <rFont val="Times New Roman"/>
            <family val="1"/>
          </rPr>
          <t>Administrator:</t>
        </r>
        <r>
          <rPr>
            <sz val="12"/>
            <color indexed="81"/>
            <rFont val="Times New Roman"/>
            <family val="1"/>
          </rPr>
          <t xml:space="preserve">
Only Fossil based CO₂ eq are modelled in this tool. Biogenic CO₂ eq is excluded.</t>
        </r>
      </text>
    </comment>
    <comment ref="D20" authorId="0" shapeId="0" xr:uid="{DCD1D637-C3EB-42AD-AEC9-0F766DF6680F}">
      <text>
        <r>
          <rPr>
            <b/>
            <sz val="12"/>
            <color indexed="81"/>
            <rFont val="Times New Roman"/>
            <family val="1"/>
          </rPr>
          <t>Administrator:</t>
        </r>
        <r>
          <rPr>
            <sz val="12"/>
            <color indexed="81"/>
            <rFont val="Times New Roman"/>
            <family val="1"/>
          </rPr>
          <t xml:space="preserve">
Only Fossil based CO₂ eq are modelled in this tool. Biogenic CO₂ eq is excluded.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16" authorId="0" shapeId="0" xr:uid="{6D29F2E2-CA94-4313-8C79-F8EAA8257203}">
      <text>
        <r>
          <rPr>
            <b/>
            <sz val="12"/>
            <color indexed="81"/>
            <rFont val="Times New Roman"/>
            <family val="1"/>
          </rPr>
          <t>Administrator:</t>
        </r>
        <r>
          <rPr>
            <sz val="12"/>
            <color indexed="81"/>
            <rFont val="Times New Roman"/>
            <family val="1"/>
          </rPr>
          <t xml:space="preserve">
Write all the assumptions related to activity data with necessary source, if available.For example, 1.1 kg of PP (polypropylene) is used to make 1 kg Plastic straw (source: Plastic Org, 2015)</t>
        </r>
      </text>
    </comment>
    <comment ref="D25" authorId="0" shapeId="0" xr:uid="{17D8F32A-56C8-466B-B3AC-58069E58D914}">
      <text>
        <r>
          <rPr>
            <b/>
            <sz val="12"/>
            <color indexed="81"/>
            <rFont val="Times New Roman"/>
            <family val="1"/>
          </rPr>
          <t>Administrator:</t>
        </r>
        <r>
          <rPr>
            <sz val="12"/>
            <color indexed="81"/>
            <rFont val="Times New Roman"/>
            <family val="1"/>
          </rPr>
          <t xml:space="preserve">
Only Fossil based CO₂ eq are modelled in this tool. Biogenic CO₂ eq is excluded.</t>
        </r>
      </text>
    </comment>
    <comment ref="B29" authorId="0" shapeId="0" xr:uid="{E97BBDD6-4DBF-49CE-B7CD-113A5BFAA411}">
      <text>
        <r>
          <rPr>
            <b/>
            <sz val="12"/>
            <color indexed="81"/>
            <rFont val="Times New Roman"/>
            <family val="1"/>
          </rPr>
          <t>Administrator:</t>
        </r>
        <r>
          <rPr>
            <sz val="12"/>
            <color indexed="81"/>
            <rFont val="Times New Roman"/>
            <family val="1"/>
          </rPr>
          <t xml:space="preserve">
Here the negative sign indicates that thenet  GHG emissions reduced/avoided by the project intervention when compared with the baseline/business as usual scenario.</t>
        </r>
      </text>
    </comment>
    <comment ref="B31" authorId="0" shapeId="0" xr:uid="{124F9575-B071-422E-B9DF-640199FB1298}">
      <text>
        <r>
          <rPr>
            <b/>
            <sz val="11"/>
            <color indexed="81"/>
            <rFont val="Times New Roman"/>
            <family val="1"/>
          </rPr>
          <t>Administrator:</t>
        </r>
        <r>
          <rPr>
            <sz val="11"/>
            <color indexed="81"/>
            <rFont val="Times New Roman"/>
            <family val="1"/>
          </rPr>
          <t xml:space="preserve">
If there is Leakage present, a conservative 10% emission is applied to ther Net 
emissions Reduction.</t>
        </r>
      </text>
    </comment>
    <comment ref="B32" authorId="0" shapeId="0" xr:uid="{AA1CAA4D-022A-4780-AD23-DDD5DEF87A04}">
      <text>
        <r>
          <rPr>
            <b/>
            <sz val="12"/>
            <color indexed="81"/>
            <rFont val="Times New Roman"/>
            <family val="1"/>
          </rPr>
          <t>Administrator:</t>
        </r>
        <r>
          <rPr>
            <sz val="12"/>
            <color indexed="81"/>
            <rFont val="Times New Roman"/>
            <family val="1"/>
          </rPr>
          <t xml:space="preserve">
Here the negative sign indicates that thenet  GHG emissions reduced/avoided by the project intervention when compared with the baseline/business as usual scenario.</t>
        </r>
      </text>
    </comment>
    <comment ref="D36" authorId="0" shapeId="0" xr:uid="{259BCC29-3D1F-4CC0-AF8D-2640C85A020A}">
      <text>
        <r>
          <rPr>
            <b/>
            <sz val="12"/>
            <color indexed="81"/>
            <rFont val="Times New Roman"/>
            <family val="1"/>
          </rPr>
          <t>Administrator:</t>
        </r>
        <r>
          <rPr>
            <sz val="12"/>
            <color indexed="81"/>
            <rFont val="Times New Roman"/>
            <family val="1"/>
          </rPr>
          <t xml:space="preserve">
Only Fossil based CO₂ eq are modelled in this tool. Biogenic CO₂ eq is excluded.</t>
        </r>
      </text>
    </comment>
    <comment ref="D59" authorId="0" shapeId="0" xr:uid="{E9BA1241-899E-4C77-BFB1-4608AA9516A6}">
      <text>
        <r>
          <rPr>
            <b/>
            <sz val="12"/>
            <color indexed="81"/>
            <rFont val="Times New Roman"/>
            <family val="1"/>
          </rPr>
          <t>Administrator:</t>
        </r>
        <r>
          <rPr>
            <sz val="12"/>
            <color indexed="81"/>
            <rFont val="Times New Roman"/>
            <family val="1"/>
          </rPr>
          <t xml:space="preserve">
Only Fossil based CO₂ eq are modelled in this tool. Biogenic CO₂ eq is excluded.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4" authorId="0" shapeId="0" xr:uid="{6DFF7A5B-2580-4023-AD40-CAE1370072C5}">
      <text>
        <r>
          <rPr>
            <b/>
            <sz val="12"/>
            <color indexed="81"/>
            <rFont val="Times New Roman"/>
            <family val="1"/>
          </rPr>
          <t>Administrator:</t>
        </r>
        <r>
          <rPr>
            <sz val="12"/>
            <color indexed="81"/>
            <rFont val="Times New Roman"/>
            <family val="1"/>
          </rPr>
          <t xml:space="preserve">
Please select currency before filling in the business inputs.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G31" authorId="0" shapeId="0" xr:uid="{2F1471B1-A1A3-452D-8566-EE57BEDFE2C0}">
      <text>
        <r>
          <rPr>
            <b/>
            <sz val="11"/>
            <color indexed="81"/>
            <rFont val="Times New Roman"/>
            <family val="1"/>
          </rPr>
          <t>Administrator:</t>
        </r>
        <r>
          <rPr>
            <sz val="11"/>
            <color indexed="81"/>
            <rFont val="Times New Roman"/>
            <family val="1"/>
          </rPr>
          <t xml:space="preserve">
If there is Leakage present, a conservative 10% emission is applied to ther Net 
emissions Reduction.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<sst xmlns="http://schemas.openxmlformats.org/spreadsheetml/2006/main" count="2321" uniqueCount="835">
  <si>
    <t xml:space="preserve">Company Name </t>
  </si>
  <si>
    <t xml:space="preserve">Vision </t>
  </si>
  <si>
    <t xml:space="preserve">Statement </t>
  </si>
  <si>
    <t xml:space="preserve">Mission </t>
  </si>
  <si>
    <t>Long-term Impact Goal</t>
  </si>
  <si>
    <t>Outcomes</t>
  </si>
  <si>
    <t>Economical</t>
  </si>
  <si>
    <t>Social</t>
  </si>
  <si>
    <t>Environmental</t>
  </si>
  <si>
    <t xml:space="preserve">Theory of Change </t>
  </si>
  <si>
    <t>1. Focus</t>
  </si>
  <si>
    <t>Problem Statement</t>
  </si>
  <si>
    <t>2. Change Analysis</t>
  </si>
  <si>
    <t>Problem</t>
  </si>
  <si>
    <t>Solutions</t>
  </si>
  <si>
    <t>3. Assumptions and Risks</t>
  </si>
  <si>
    <t>Assumptions</t>
  </si>
  <si>
    <t>Risk</t>
  </si>
  <si>
    <t>https://unsdg.un.org/sites/default/files/UNDG-UNDAF-Companion-Pieces-7-Theory-of-Change.pdf</t>
  </si>
  <si>
    <t>Their Role</t>
  </si>
  <si>
    <t>Key Partners and Actors</t>
  </si>
  <si>
    <t>Description</t>
  </si>
  <si>
    <t>Power Source</t>
  </si>
  <si>
    <t>Unit</t>
  </si>
  <si>
    <t>Total</t>
  </si>
  <si>
    <t>Select Option</t>
  </si>
  <si>
    <t>Emission factors</t>
  </si>
  <si>
    <t>HDPE</t>
  </si>
  <si>
    <t>LDPE</t>
  </si>
  <si>
    <t>PET</t>
  </si>
  <si>
    <t>LLDPE</t>
  </si>
  <si>
    <t>PVC</t>
  </si>
  <si>
    <t>PLA</t>
  </si>
  <si>
    <t>Concrete</t>
  </si>
  <si>
    <t>Aggregates</t>
  </si>
  <si>
    <t>Glass</t>
  </si>
  <si>
    <t>Sources</t>
  </si>
  <si>
    <t>Kerosene</t>
  </si>
  <si>
    <t>Diesel</t>
  </si>
  <si>
    <t>Natural gas</t>
  </si>
  <si>
    <t>Vehicle type</t>
  </si>
  <si>
    <t>Energy required</t>
  </si>
  <si>
    <t>Vehicle Type</t>
  </si>
  <si>
    <t>Distance Travelled</t>
  </si>
  <si>
    <t xml:space="preserve">Units </t>
  </si>
  <si>
    <t>Ownership</t>
  </si>
  <si>
    <t>4. Identify Key Partners and Actors</t>
  </si>
  <si>
    <t>List out all the Key Partners and Actors and their role in relevance to this business case</t>
  </si>
  <si>
    <t>Material</t>
  </si>
  <si>
    <t>Water</t>
  </si>
  <si>
    <t>Energy Sources used in your operations
(Select multiple if you are using more than one source from the dropdown)*</t>
  </si>
  <si>
    <t>Material Type</t>
  </si>
  <si>
    <t xml:space="preserve">Material </t>
  </si>
  <si>
    <t>Quantity</t>
  </si>
  <si>
    <t>Units</t>
  </si>
  <si>
    <t>Water Type</t>
  </si>
  <si>
    <t>Percentage Share (%)</t>
  </si>
  <si>
    <t>Sector</t>
  </si>
  <si>
    <t>Reporting Year</t>
  </si>
  <si>
    <t>Base Year</t>
  </si>
  <si>
    <t>State the Problem the Business Case will tackle</t>
  </si>
  <si>
    <t>Use Alt+Enter to make list of the outcomes</t>
  </si>
  <si>
    <t>List out the outcome that might arise from tackling the problem and achieving the long-term impact goal (Max 3 each)</t>
  </si>
  <si>
    <t>List out all the assumptions and risk regarding this business case (Prioritise high to low)</t>
  </si>
  <si>
    <t>Functional Unit</t>
  </si>
  <si>
    <t>Project Description</t>
  </si>
  <si>
    <t>Project Title</t>
  </si>
  <si>
    <t>Project Proponent</t>
  </si>
  <si>
    <t>1.1 Project description</t>
  </si>
  <si>
    <t>User Name</t>
  </si>
  <si>
    <t>Date</t>
  </si>
  <si>
    <t xml:space="preserve">Funding agency </t>
  </si>
  <si>
    <t>Executing agency</t>
  </si>
  <si>
    <t>Project status</t>
  </si>
  <si>
    <t>1.2 Project site and duration</t>
  </si>
  <si>
    <t xml:space="preserve">Continent </t>
  </si>
  <si>
    <t>Country</t>
  </si>
  <si>
    <t>Project duration (in years)</t>
  </si>
  <si>
    <t>Continent</t>
  </si>
  <si>
    <t>Africa</t>
  </si>
  <si>
    <t>Americas</t>
  </si>
  <si>
    <t>Asia</t>
  </si>
  <si>
    <t>Europe</t>
  </si>
  <si>
    <t>Oceania</t>
  </si>
  <si>
    <t>Antarctica</t>
  </si>
  <si>
    <t>Algeria</t>
  </si>
  <si>
    <t>Angola</t>
  </si>
  <si>
    <t>Benin</t>
  </si>
  <si>
    <t>Botswana</t>
  </si>
  <si>
    <t>Burkina Faso</t>
  </si>
  <si>
    <t>Burundi</t>
  </si>
  <si>
    <t>Cabo Verde</t>
  </si>
  <si>
    <t>Cameroon</t>
  </si>
  <si>
    <t>Central African Republic</t>
  </si>
  <si>
    <t>Chad</t>
  </si>
  <si>
    <t>Comoros</t>
  </si>
  <si>
    <t>Congo, Democratic Republic</t>
  </si>
  <si>
    <t>Congo, Republic</t>
  </si>
  <si>
    <t>Côte d’Ivoire</t>
  </si>
  <si>
    <t>Djibouti</t>
  </si>
  <si>
    <t>Egypt</t>
  </si>
  <si>
    <t>Equatorial Guinea</t>
  </si>
  <si>
    <t>Eritrea</t>
  </si>
  <si>
    <t>Eswatini</t>
  </si>
  <si>
    <t>Ethiopia</t>
  </si>
  <si>
    <t>Gabon</t>
  </si>
  <si>
    <t>Gambia</t>
  </si>
  <si>
    <t>Ghana</t>
  </si>
  <si>
    <t>Guinea</t>
  </si>
  <si>
    <t>Guinea-Bissau</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</si>
  <si>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</si>
  <si>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</si>
  <si>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</si>
  <si>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</si>
  <si>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</si>
  <si>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</si>
  <si>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</si>
  <si>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</si>
  <si>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</si>
  <si>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</si>
  <si>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</si>
  <si>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</si>
  <si>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</si>
  <si>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</si>
  <si>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</si>
  <si>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</si>
  <si>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</si>
  <si>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</si>
  <si>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</si>
  <si>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</si>
  <si>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</si>
  <si>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</si>
  <si>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</si>
  <si>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</si>
  <si>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</si>
  <si>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</si>
  <si>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</si>
  <si>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</si>
  <si>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</si>
  <si>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United States</t>
  </si>
  <si>
    <t>Canada</t>
  </si>
  <si>
    <t>Mexico</t>
  </si>
  <si>
    <t>Brazil</t>
  </si>
  <si>
    <t>Argentina</t>
  </si>
  <si>
    <t>Chile</t>
  </si>
  <si>
    <t>Colombia</t>
  </si>
  <si>
    <t>Peru</t>
  </si>
  <si>
    <t>India</t>
  </si>
  <si>
    <t>China</t>
  </si>
  <si>
    <t>Japan</t>
  </si>
  <si>
    <t>Indonesia</t>
  </si>
  <si>
    <t>Thailand</t>
  </si>
  <si>
    <t>Vietnam</t>
  </si>
  <si>
    <t>Netherlands</t>
  </si>
  <si>
    <t>Germany</t>
  </si>
  <si>
    <t>France</t>
  </si>
  <si>
    <t>Italy</t>
  </si>
  <si>
    <t>Spain</t>
  </si>
  <si>
    <t>United Kingdom</t>
  </si>
  <si>
    <t>Australia</t>
  </si>
  <si>
    <t>New Zealand</t>
  </si>
  <si>
    <t>Fiji</t>
  </si>
  <si>
    <t>Sub-Region</t>
  </si>
  <si>
    <t>Northern Africa</t>
  </si>
  <si>
    <t>Western Africa</t>
  </si>
  <si>
    <t>Middle Africa</t>
  </si>
  <si>
    <t>Eastern Africa</t>
  </si>
  <si>
    <t>Southern Africa</t>
  </si>
  <si>
    <t>Northern America</t>
  </si>
  <si>
    <t>Central America</t>
  </si>
  <si>
    <t>South America</t>
  </si>
  <si>
    <t>Central Asia</t>
  </si>
  <si>
    <t>Kazakhstan</t>
  </si>
  <si>
    <t>Kyrgyzstan</t>
  </si>
  <si>
    <t>Tajikistan</t>
  </si>
  <si>
    <t>Turkmenistan</t>
  </si>
  <si>
    <t>Uzbekistan</t>
  </si>
  <si>
    <t>Southern Asia</t>
  </si>
  <si>
    <t>Pakistan</t>
  </si>
  <si>
    <t>Bangladesh</t>
  </si>
  <si>
    <t>Sri Lanka</t>
  </si>
  <si>
    <t>Nepal</t>
  </si>
  <si>
    <t>Bhutan</t>
  </si>
  <si>
    <t>Maldives</t>
  </si>
  <si>
    <t>Afghanistan</t>
  </si>
  <si>
    <t>Eastern Asia</t>
  </si>
  <si>
    <t>Mongolia</t>
  </si>
  <si>
    <t>North Korea</t>
  </si>
  <si>
    <t>South Korea</t>
  </si>
  <si>
    <t>South-Eastern Asia</t>
  </si>
  <si>
    <t>Malaysia</t>
  </si>
  <si>
    <t>Singapore</t>
  </si>
  <si>
    <t>Philippines</t>
  </si>
  <si>
    <t>Cambodia</t>
  </si>
  <si>
    <t>Laos</t>
  </si>
  <si>
    <t>Myanmar</t>
  </si>
  <si>
    <t>Brunei</t>
  </si>
  <si>
    <t>Timor-Leste</t>
  </si>
  <si>
    <t>Western Asia</t>
  </si>
  <si>
    <t>Saudi Arabia</t>
  </si>
  <si>
    <t>United Arab Emirates</t>
  </si>
  <si>
    <t>Qatar</t>
  </si>
  <si>
    <t>Oman</t>
  </si>
  <si>
    <t>Kuwait</t>
  </si>
  <si>
    <t>Bahrain</t>
  </si>
  <si>
    <t>Israel</t>
  </si>
  <si>
    <t>Jordan</t>
  </si>
  <si>
    <t>Lebanon</t>
  </si>
  <si>
    <t>Syria</t>
  </si>
  <si>
    <t>Iraq</t>
  </si>
  <si>
    <t>Iran</t>
  </si>
  <si>
    <t>Turkey</t>
  </si>
  <si>
    <t>Yemen</t>
  </si>
  <si>
    <t>Northern Europe</t>
  </si>
  <si>
    <t>Ireland</t>
  </si>
  <si>
    <t>Sweden</t>
  </si>
  <si>
    <t>Norway</t>
  </si>
  <si>
    <t>Denmark</t>
  </si>
  <si>
    <t>Finland</t>
  </si>
  <si>
    <t>Iceland</t>
  </si>
  <si>
    <t>Western Europe</t>
  </si>
  <si>
    <t>Belgium</t>
  </si>
  <si>
    <t>Luxembourg</t>
  </si>
  <si>
    <t>Austria</t>
  </si>
  <si>
    <t>Switzerland</t>
  </si>
  <si>
    <t>Southern Europe</t>
  </si>
  <si>
    <t>Portugal</t>
  </si>
  <si>
    <t>Greece</t>
  </si>
  <si>
    <t>Malta</t>
  </si>
  <si>
    <t>Eastern Europe</t>
  </si>
  <si>
    <t>Poland</t>
  </si>
  <si>
    <t>Czech Republic</t>
  </si>
  <si>
    <t>Slovakia</t>
  </si>
  <si>
    <t>Hungary</t>
  </si>
  <si>
    <t>Romania</t>
  </si>
  <si>
    <t>Bulgaria</t>
  </si>
  <si>
    <t>Ukraine</t>
  </si>
  <si>
    <t>Belarus</t>
  </si>
  <si>
    <t>Russia</t>
  </si>
  <si>
    <t>Australia &amp; NZ</t>
  </si>
  <si>
    <t>Melanesia</t>
  </si>
  <si>
    <t>Papua New Guinea</t>
  </si>
  <si>
    <t>Solomon Islands</t>
  </si>
  <si>
    <t>Vanuatu</t>
  </si>
  <si>
    <t>Micronesia</t>
  </si>
  <si>
    <t>Palau</t>
  </si>
  <si>
    <t>Marshall Islands</t>
  </si>
  <si>
    <t>Nauru</t>
  </si>
  <si>
    <t>Kiribati</t>
  </si>
  <si>
    <t>Polynesia</t>
  </si>
  <si>
    <t>Samoa</t>
  </si>
  <si>
    <t>Tonga</t>
  </si>
  <si>
    <t>Tuvalu</t>
  </si>
  <si>
    <t>Sub-region</t>
  </si>
  <si>
    <t>Select Continent</t>
  </si>
  <si>
    <t>Select Sub-Region</t>
  </si>
  <si>
    <t>Select Country</t>
  </si>
  <si>
    <t>References</t>
  </si>
  <si>
    <t>Source</t>
  </si>
  <si>
    <t>Geographic Master Table</t>
  </si>
  <si>
    <t>Metals</t>
  </si>
  <si>
    <t>Steel</t>
  </si>
  <si>
    <t>Aluminium</t>
  </si>
  <si>
    <t>Rice husk</t>
  </si>
  <si>
    <t>Bagasse</t>
  </si>
  <si>
    <t>Ammonia</t>
  </si>
  <si>
    <t>Methanol</t>
  </si>
  <si>
    <t>Lithium-ion battery</t>
  </si>
  <si>
    <t>Solar PV module</t>
  </si>
  <si>
    <t>LPG</t>
  </si>
  <si>
    <t>Stainless steel</t>
  </si>
  <si>
    <t>Galvanised steel</t>
  </si>
  <si>
    <t>Copper</t>
  </si>
  <si>
    <t>Brass</t>
  </si>
  <si>
    <t>Bronze</t>
  </si>
  <si>
    <t>Iron</t>
  </si>
  <si>
    <t>Cast iron</t>
  </si>
  <si>
    <t>Zinc</t>
  </si>
  <si>
    <t>Nickel</t>
  </si>
  <si>
    <t>Lead</t>
  </si>
  <si>
    <t>Tin</t>
  </si>
  <si>
    <t>Magnesium</t>
  </si>
  <si>
    <t>Titanium</t>
  </si>
  <si>
    <t>PP (Polypropylene)</t>
  </si>
  <si>
    <t>PS (Polystyrene)</t>
  </si>
  <si>
    <t>Polyurethane (PU)</t>
  </si>
  <si>
    <t>PHA</t>
  </si>
  <si>
    <t>PBS</t>
  </si>
  <si>
    <t>PBAT</t>
  </si>
  <si>
    <t>Cellulose acetate</t>
  </si>
  <si>
    <t>Starch-based plastic</t>
  </si>
  <si>
    <t>Polymers (Plastics &amp; Bio-polymers)</t>
  </si>
  <si>
    <t>Minerals &amp; Construction Materials</t>
  </si>
  <si>
    <t>Rice straw</t>
  </si>
  <si>
    <t>Wheat straw</t>
  </si>
  <si>
    <t>Corn stover</t>
  </si>
  <si>
    <t>Wood (hardwood)</t>
  </si>
  <si>
    <t>Wood (softwood)</t>
  </si>
  <si>
    <t>Plywood</t>
  </si>
  <si>
    <t>Bamboo</t>
  </si>
  <si>
    <t>Coconut shell</t>
  </si>
  <si>
    <t>Coir fibre</t>
  </si>
  <si>
    <t>Jute</t>
  </si>
  <si>
    <t>Hemp</t>
  </si>
  <si>
    <t>Cotton (raw)</t>
  </si>
  <si>
    <t>Algae biomass</t>
  </si>
  <si>
    <t>Forestry residue</t>
  </si>
  <si>
    <t>Chemicals &amp; Industrial Inputs</t>
  </si>
  <si>
    <t>Urea</t>
  </si>
  <si>
    <t>Nitric acid</t>
  </si>
  <si>
    <t>Sulphuric acid</t>
  </si>
  <si>
    <t>Phosphoric acid</t>
  </si>
  <si>
    <t>Ethanol</t>
  </si>
  <si>
    <t>Hydrogen (grey)</t>
  </si>
  <si>
    <t>Hydrogen (blue)</t>
  </si>
  <si>
    <t>Hydrogen (green)</t>
  </si>
  <si>
    <t>Acetone</t>
  </si>
  <si>
    <t>Ethylene</t>
  </si>
  <si>
    <t>Propylene</t>
  </si>
  <si>
    <t>Formaldehyde</t>
  </si>
  <si>
    <t>Solvents (generic)</t>
  </si>
  <si>
    <t>Adhesives / resins</t>
  </si>
  <si>
    <t>Paints &amp; coatings</t>
  </si>
  <si>
    <t>Electronics &amp; Energy Components</t>
  </si>
  <si>
    <t>Sodium-ion battery</t>
  </si>
  <si>
    <t>Lead-acid battery</t>
  </si>
  <si>
    <t>Battery cells</t>
  </si>
  <si>
    <t>Battery packs</t>
  </si>
  <si>
    <t>Solar PV cell</t>
  </si>
  <si>
    <t>Inverter</t>
  </si>
  <si>
    <t>Power electronics</t>
  </si>
  <si>
    <t>Printed circuit boards (PCB)</t>
  </si>
  <si>
    <t>Semiconductors</t>
  </si>
  <si>
    <t>Electric motors</t>
  </si>
  <si>
    <t>Transformers</t>
  </si>
  <si>
    <t>Cables &amp; wiring</t>
  </si>
  <si>
    <t>Charging equipment</t>
  </si>
  <si>
    <t>Sensors &amp; IoT devices</t>
  </si>
  <si>
    <t>Fuels (Fossil &amp; Alternatives)</t>
  </si>
  <si>
    <t>Petrol (gasoline)</t>
  </si>
  <si>
    <t>CNG</t>
  </si>
  <si>
    <t>Coal</t>
  </si>
  <si>
    <t>Furnace oil</t>
  </si>
  <si>
    <t>Bio-diesel</t>
  </si>
  <si>
    <t>Bio-ethanol</t>
  </si>
  <si>
    <t>Biogas</t>
  </si>
  <si>
    <t>Green hydrogen</t>
  </si>
  <si>
    <t>Compressed hydrogen</t>
  </si>
  <si>
    <t>Textiles &amp; Fibres</t>
  </si>
  <si>
    <t>Cotton</t>
  </si>
  <si>
    <t>Organic cotton</t>
  </si>
  <si>
    <t>Recycled cotton</t>
  </si>
  <si>
    <t>Polyester</t>
  </si>
  <si>
    <t>Recycled polyester (rPET)</t>
  </si>
  <si>
    <t>Nylon fibre</t>
  </si>
  <si>
    <t>Viscose</t>
  </si>
  <si>
    <t>Rayon</t>
  </si>
  <si>
    <t>Wool</t>
  </si>
  <si>
    <t>Silk</t>
  </si>
  <si>
    <t>Jute fibre</t>
  </si>
  <si>
    <t>Hemp fibre</t>
  </si>
  <si>
    <t>Blended textiles</t>
  </si>
  <si>
    <t>Paper, Packaging &amp; Wood Products</t>
  </si>
  <si>
    <t>Paper</t>
  </si>
  <si>
    <t>Recycled paper</t>
  </si>
  <si>
    <t>Cardboard</t>
  </si>
  <si>
    <t>Corrugated board</t>
  </si>
  <si>
    <t>Paperboard</t>
  </si>
  <si>
    <t>Pulp</t>
  </si>
  <si>
    <t>Moulded fibre</t>
  </si>
  <si>
    <t>Packaging board</t>
  </si>
  <si>
    <t>Wood pallets</t>
  </si>
  <si>
    <t>Wood chips</t>
  </si>
  <si>
    <t xml:space="preserve">Material - Master Table </t>
  </si>
  <si>
    <t xml:space="preserve">Material Helper List for Dropdown </t>
  </si>
  <si>
    <t>Select Material Type</t>
  </si>
  <si>
    <t>Select Material</t>
  </si>
  <si>
    <t xml:space="preserve">Baseline Material </t>
  </si>
  <si>
    <t>Project Material</t>
  </si>
  <si>
    <t xml:space="preserve"> Assumptions</t>
  </si>
  <si>
    <t>Emission Factor</t>
  </si>
  <si>
    <t>Fuel Type</t>
  </si>
  <si>
    <t>Gasoline/Petrol</t>
  </si>
  <si>
    <t>Vehicle Categories</t>
  </si>
  <si>
    <t xml:space="preserve">Geographical Helper List for Dropdown </t>
  </si>
  <si>
    <t>Vehicle Category</t>
  </si>
  <si>
    <t>Passenger Cars</t>
  </si>
  <si>
    <t>Baseline</t>
  </si>
  <si>
    <t>Project</t>
  </si>
  <si>
    <t>Select Vehicle Category</t>
  </si>
  <si>
    <t>Select Vehicle Type</t>
  </si>
  <si>
    <t>Select Fuel Type</t>
  </si>
  <si>
    <t>India Grid-average emission factor Table</t>
  </si>
  <si>
    <t>Baseline Inventory</t>
  </si>
  <si>
    <t>Functional/Declared Unit</t>
  </si>
  <si>
    <t>Landfill</t>
  </si>
  <si>
    <t>Treatment Proces</t>
  </si>
  <si>
    <t>Emission Generated</t>
  </si>
  <si>
    <t>Composting</t>
  </si>
  <si>
    <t>Baseline Emissions</t>
  </si>
  <si>
    <t>unit</t>
  </si>
  <si>
    <t>tonne-CO2/MWh</t>
  </si>
  <si>
    <t>Fuel</t>
  </si>
  <si>
    <t>Gas</t>
  </si>
  <si>
    <t>CO₂</t>
  </si>
  <si>
    <t>CH₄</t>
  </si>
  <si>
    <t>N₂O</t>
  </si>
  <si>
    <t>Wood / Wood Waste</t>
  </si>
  <si>
    <t>CO₂ (biogenic)</t>
  </si>
  <si>
    <t>Charcoal</t>
  </si>
  <si>
    <t>Anthracite</t>
  </si>
  <si>
    <t>Coking coal</t>
  </si>
  <si>
    <t>Other bituminous coal</t>
  </si>
  <si>
    <t>Sub-bituminous coal</t>
  </si>
  <si>
    <t>Lignite</t>
  </si>
  <si>
    <t>Coke oven coke</t>
  </si>
  <si>
    <t>Petroleum coke</t>
  </si>
  <si>
    <t>Crude oil</t>
  </si>
  <si>
    <t>Gasoline</t>
  </si>
  <si>
    <t>Residual fuel oil</t>
  </si>
  <si>
    <t>Coke oven gas</t>
  </si>
  <si>
    <t>Blast furnace gas</t>
  </si>
  <si>
    <t xml:space="preserve">IPCC (2006). </t>
  </si>
  <si>
    <t>Grid Electricity (average)</t>
  </si>
  <si>
    <t>Select Fuel Source</t>
  </si>
  <si>
    <t>Energy Use</t>
  </si>
  <si>
    <t>Water Use</t>
  </si>
  <si>
    <t xml:space="preserve">Energy Use </t>
  </si>
  <si>
    <t>UK DEFRA (2025)</t>
  </si>
  <si>
    <t>Bricks</t>
  </si>
  <si>
    <t>Asbestos</t>
  </si>
  <si>
    <t>Aggregates (Re-used)</t>
  </si>
  <si>
    <t>Asphalt</t>
  </si>
  <si>
    <t>Asphalt (Re-used)</t>
  </si>
  <si>
    <t>Insulation</t>
  </si>
  <si>
    <t>Mineral Oil</t>
  </si>
  <si>
    <t>Plasterboard</t>
  </si>
  <si>
    <t>Tyres</t>
  </si>
  <si>
    <t>Tyres (Re-used)</t>
  </si>
  <si>
    <t>UK DEFRA, 2025</t>
  </si>
  <si>
    <t>UK DEFRA, 2026</t>
  </si>
  <si>
    <t>UK DEFRA, 2027</t>
  </si>
  <si>
    <t>UK DEFRA, 2028</t>
  </si>
  <si>
    <t>Average Plastics</t>
  </si>
  <si>
    <t>Average Plastics Film</t>
  </si>
  <si>
    <t>Average Plastic Rigid</t>
  </si>
  <si>
    <t>Treatment Process</t>
  </si>
  <si>
    <t>Total Emissions generated for the Transportation Phase</t>
  </si>
  <si>
    <t>Total Baseline Emissions</t>
  </si>
  <si>
    <t>Net Emissions Reduction/Avoided Emissions</t>
  </si>
  <si>
    <t>End of Life Treatment Master Table</t>
  </si>
  <si>
    <t>Incineration with Energy Recovery</t>
  </si>
  <si>
    <t>Anaerobic Digestion</t>
  </si>
  <si>
    <t>Total Emissions generated for the EoL phase</t>
  </si>
  <si>
    <t>Total Emissions generateed in Manufacaturing Phase</t>
  </si>
  <si>
    <t xml:space="preserve">Impact Calculation Results </t>
  </si>
  <si>
    <t>per Functional Unit</t>
  </si>
  <si>
    <t>Coconut leaves</t>
  </si>
  <si>
    <t>GWP_values_list</t>
  </si>
  <si>
    <t>IPCC Second Assessment Report</t>
  </si>
  <si>
    <t>IPCC Third Assessment Report</t>
  </si>
  <si>
    <t>IPCC Fourth Assessment Report</t>
  </si>
  <si>
    <t>IPCC Fifth Assessment Report</t>
  </si>
  <si>
    <t>IPCC Sixth Assessment Report</t>
  </si>
  <si>
    <t>Leakage</t>
  </si>
  <si>
    <t>System boundary</t>
  </si>
  <si>
    <t>Farm-to-Gate</t>
  </si>
  <si>
    <t>Wood / Wood Waste (Biogenic CO2)</t>
  </si>
  <si>
    <t>Charcoal (Biogenic CO2)</t>
  </si>
  <si>
    <t xml:space="preserve">Reporting/Target Year </t>
  </si>
  <si>
    <t>Please Select Year</t>
  </si>
  <si>
    <t>tonne/MWh or kg/kWh</t>
  </si>
  <si>
    <t>Fuel EF Model Table</t>
  </si>
  <si>
    <t>Manual</t>
  </si>
  <si>
    <t>IPCC GWP Model Table</t>
  </si>
  <si>
    <t>Select IPCC GWP AR</t>
  </si>
  <si>
    <t>Farm-to-gate EF Master Table</t>
  </si>
  <si>
    <t>Agrifood Residue</t>
  </si>
  <si>
    <t>Agrifood - Biomass &amp; Residues</t>
  </si>
  <si>
    <t>Fuel type</t>
  </si>
  <si>
    <t>Select Power Source</t>
  </si>
  <si>
    <t>GHG Gases</t>
  </si>
  <si>
    <t>Hybrid Tier 2 &amp; 3 Approach (Farm-to-gate)</t>
  </si>
  <si>
    <t>Residue Collection &amp; Processing - On-Farm (Tier 3)</t>
  </si>
  <si>
    <t>Transport till Farm Gate (Tier 2)</t>
  </si>
  <si>
    <t>Water Supply</t>
  </si>
  <si>
    <t>tonne-CO2/tonne or kg-CO2/kg</t>
  </si>
  <si>
    <t>kg-CO2/m3</t>
  </si>
  <si>
    <t>Water Treated</t>
  </si>
  <si>
    <t>Select Ownership</t>
  </si>
  <si>
    <t>1.5 Agrifood Residue used as Raw Material (if applicable)</t>
  </si>
  <si>
    <t>Select Water Type</t>
  </si>
  <si>
    <t xml:space="preserve">Project cost </t>
  </si>
  <si>
    <t>Defines the geographic location(s) and the time period over which the project activities and impacts are assessed.</t>
  </si>
  <si>
    <t>List out the short- and long-term problems and their respective solutions for this business case (Prioritise high to low; max 4)</t>
  </si>
  <si>
    <t>Theory of Change, UNDAF</t>
  </si>
  <si>
    <t>Theoretical</t>
  </si>
  <si>
    <t>Sustainability Dimensions</t>
  </si>
  <si>
    <t xml:space="preserve">Company Focus </t>
  </si>
  <si>
    <t>Briefly summarize the theroy of change process for your company/organization. (Theory of Change, UNDAF)</t>
  </si>
  <si>
    <t>Scope Reference</t>
  </si>
  <si>
    <t>System Boundary</t>
  </si>
  <si>
    <t>https://www.sustainablesolutionscorporation.com/ssc-blog/common-types-life-cycle-assessments</t>
  </si>
  <si>
    <t>Image</t>
  </si>
  <si>
    <t>LCA Boundary, Sustainable Solutions Corporation</t>
  </si>
  <si>
    <t>Scope Instruction</t>
  </si>
  <si>
    <t>1.4 Functional/Declared Unit*</t>
  </si>
  <si>
    <t>1.3 Scope &amp; Boundary*</t>
  </si>
  <si>
    <t>State your Vision</t>
  </si>
  <si>
    <t>GHG Impact - Investor Results</t>
  </si>
  <si>
    <t>Emission Factors for Agricultural residues are difficult to acquire. Since the EF for agrifood residues are assumed to bear no upstream cultivation burden, Farm-to-gate EF are modelled which includes residue collection &amp; on-farm processing (where applicable), and transport to the farm gate or processing facility. Manual collection is assumed to have zero emissions.
If Agrifood - Biomass &amp; Residues are used in the project, fill in the below details to calculate its farm-to-gate emission factors. Please read the note (click on the cell/red dot on the columns) and only enter the details if these values are available, otherwise please leave it blank.</t>
  </si>
  <si>
    <t>Select Treatment Process</t>
  </si>
  <si>
    <t>End of life treatment</t>
  </si>
  <si>
    <t>Emission generated from quantity of Raw Materials used in the Product Innovation</t>
  </si>
  <si>
    <t>Emission generated from all the Raw Materials used in the Product Innovation</t>
  </si>
  <si>
    <t>Emissions generated from the water used to manufacture</t>
  </si>
  <si>
    <t>Emissions generated from energy sources used in your operations</t>
  </si>
  <si>
    <t>Emissions generated for the End of life treatment</t>
  </si>
  <si>
    <t>Total Emissions generated from energy needed to manufacture</t>
  </si>
  <si>
    <t>Impact Calculation Summarized</t>
  </si>
  <si>
    <t xml:space="preserve">Purpose of the Tool </t>
  </si>
  <si>
    <t>Standards and Framework Alignment</t>
  </si>
  <si>
    <t>Tool Setup and Structure</t>
  </si>
  <si>
    <t xml:space="preserve">An GHG accounting and reporting tool for early stage start-ups, sustainable projects and organizations that is focused on sustainable transition. </t>
  </si>
  <si>
    <t>Tool - Reference</t>
  </si>
  <si>
    <t>Company - TOC</t>
  </si>
  <si>
    <t>Investor Inventory</t>
  </si>
  <si>
    <t>Investor Ready Impact Results</t>
  </si>
  <si>
    <t>Tool - EFs &amp; Helper</t>
  </si>
  <si>
    <t>Project Focus</t>
  </si>
  <si>
    <t>Scope and Boundary</t>
  </si>
  <si>
    <t>Project Site and Duration</t>
  </si>
  <si>
    <t>Agrifood Residue used as Raw Material (if applicable)</t>
  </si>
  <si>
    <t>This section explains the structure of the impact measurement tool and provides guidance on the purpose of each sheet, the type of information captured, and how the sheets are intended to be used together. Each sheet is designed to build logically on the previous one, ensuring consistency, transparency, and traceability across the impact assessment.
Specific Information and Instruction regarding the specific key terms and on how to fill the tool is specified in the sheet</t>
  </si>
  <si>
    <t xml:space="preserve">This sheet contains all reference and sources used within the model, including standards, databases, assumptions, and methodological notes. It acts as the central reference point to ensure transparency and traceability of all data sources used in the tool. </t>
  </si>
  <si>
    <t>This sheet includes all supporting tables required for  calculations, such as geographical classifications, material types, fuel categories, transport modes, and associated emission factors. Emission factors are sourced from recognised datasets and linked dynamically to the inventory and emissions calculation sheets.</t>
  </si>
  <si>
    <t>This sheet captures high-level organisational information and outlines the business case using a simplified Theory of Change framework. It describes how the company’s activities and solutions are expected to lead to sustainable outcomes and longer-term climate impact.</t>
  </si>
  <si>
    <t>This sheet documents the core details of the project being assessed, including its objective, timeline, system boundary, and functional or declared unit. The following sections within this sheet explains why the particular information is required and how it influences the impact assessment.</t>
  </si>
  <si>
    <t>This section records key project identifiers such as the implementing organisation, relevant contact persons, funding and executing agencies, project costs, and project status. These details help contextualise the impact results and ensures accountability to specific stakeholders.</t>
  </si>
  <si>
    <t>This section captures the geographical location of the project, base year, reporting/target year, and overall project duration. These inputs define the temporal and spatial boundaries for the GHG measurement tool.</t>
  </si>
  <si>
    <t>This section defines the scope of emissions covered by the assessment, including the selected system boundary (e.g. gate-to-gate, cradle-to-gate, cradle-to-grave). Clear scope and boundary definition ensures consistency between baseline and project scenarios and supports comparability.</t>
  </si>
  <si>
    <t>This section specifies the functional or declared unit used to normalise emissions (e.g. per tonne of product, per unit delivered, per € million revenue). This ensures results are comparable across scenarios, time periods, and projects.</t>
  </si>
  <si>
    <t>If relevant, this section documents the type, quantity, and source of agrifood residues used as raw materials. It supports impact assessments using agri-food biomass and residues for circular economy, waste-to-value, and bio-based projects.</t>
  </si>
  <si>
    <t>This sheet records all activity data associated with the baseline/business-as-usual scenario, including materials, energy use, transportation, and other relevant inputs. It forms the foundation for baseline emissions calculations.</t>
  </si>
  <si>
    <t>This sheet calculates GHG emissions for the baseline scenario using data from the Baseline Inventory and the referenced emission factors. The results represent the emissions against which project impacts are compared.</t>
  </si>
  <si>
    <t>This sheet documents the activity data for the project intervention/alternative scenario. It mirrors the structure of the baseline inventory to ensure consistency and enable a like-for-like comparison.</t>
  </si>
  <si>
    <t>This sheet calculates GHG emissions for the project scenario based on the project inventory data and selected emission factors. These results reflect the emissions associated with the implemented solution or intervention.</t>
  </si>
  <si>
    <t>This sheet integrates GHG impact results with financial data to generate investor-relevant indicators. The outputs are designed to support investment analysis, reporting, and decision-making.</t>
  </si>
  <si>
    <t>Data Inputs and Sources</t>
  </si>
  <si>
    <t>Intended Use and Limitations</t>
  </si>
  <si>
    <t>This tool is intended for:</t>
  </si>
  <si>
    <t>Limitations</t>
  </si>
  <si>
    <t>Uses</t>
  </si>
  <si>
    <t>For organisational and project-level GHG accounting, emissions categorisation, and intensity metrics.</t>
  </si>
  <si>
    <t>For principles of accuracy, consistency, completeness, transparency, and relevance in GHG quantification.</t>
  </si>
  <si>
    <t>Where life-cycle boundaries (e.g. cradle-to-gate, cradle-to-grave) are applied.</t>
  </si>
  <si>
    <t>For emission factors, global warming potentials (GWP), and methodological consistency.</t>
  </si>
  <si>
    <t>Activity Data</t>
  </si>
  <si>
    <t>Emission Factors</t>
  </si>
  <si>
    <t>Material quantities, Energy consumption, Transportation distances and modes, Operational throughput, Financial data (costs, revenues)</t>
  </si>
  <si>
    <t>Emission factors are sourced from recognised secondary datasets (e.g. IPCC, national inventories, peer-reviewed databases) and applied consistently across baseline and reporting scenarios.</t>
  </si>
  <si>
    <t>Welcome to the SME Impact Measurement Tool</t>
  </si>
  <si>
    <t>Glossary</t>
  </si>
  <si>
    <t>This sheet provides clear definitions of key terms, abbreviations, and technical language used throughout the impact measurement tool. It is intended to support consistent understanding across users, including project teams, analysts, and investors, and to reduce ambiguity when interpreting data, calculations, and results.</t>
  </si>
  <si>
    <t>Standards and Methodologies</t>
  </si>
  <si>
    <t>GHG Protocol</t>
  </si>
  <si>
    <t>ISO Standards - ISO 14064</t>
  </si>
  <si>
    <t xml:space="preserve">2006 IPCC Guidelines for National Greenhouse Gas Inventories, Volume 2: Energy, Chapter 2: Stationary Combustion, Table 2.3. </t>
  </si>
  <si>
    <t xml:space="preserve">UK Department for Environment, Food &amp; Rural Affairs, 2025. UK government greenhouse gas conversion factors for company reporting. https://www.gov.uk/government/collections/government-conversion-factors-for-company-reporting </t>
  </si>
  <si>
    <t>Source/Links</t>
  </si>
  <si>
    <t>https://ghgprotocol.org/</t>
  </si>
  <si>
    <t>ISO Standards - ISO 14040/44</t>
  </si>
  <si>
    <t>https://www.iso.org/files/live/sites/isoorg/files/store/en/PUB100271.pdf</t>
  </si>
  <si>
    <t xml:space="preserve">https://www.iso.org/standard/37456.html; https://www.iso.org/standard/38498.html </t>
  </si>
  <si>
    <t xml:space="preserve">SME impact measurement tool is designed to measure and communicate the GHG emissions and reduction/mitigation performance associated with early stage start-ups, impact-oriented projects and product innovations, that is transparent, comparable and useful for decision-making for relevant investors, management, and stakeholders. </t>
  </si>
  <si>
    <t>ISO 14064</t>
  </si>
  <si>
    <t>ISO 14040/14044</t>
  </si>
  <si>
    <t>This impact measurement tool is developed in complete or partial alignment with international &amp; national recognized standards, methodologies and database.</t>
  </si>
  <si>
    <t>Color codes of the cells</t>
  </si>
  <si>
    <t>Default cells</t>
  </si>
  <si>
    <t>Dropdown Cells</t>
  </si>
  <si>
    <t xml:space="preserve">Important Cells with specific descriptions, instructions and notes </t>
  </si>
  <si>
    <t>To be filled manually</t>
  </si>
  <si>
    <t>Formula cells containing calculations</t>
  </si>
  <si>
    <t>List out the company information and outline the Vision, Mission, Problem Statement, Goals and Outcomes of the Business Case</t>
  </si>
  <si>
    <t xml:space="preserve">Covers the sourcing, quantity, and type of raw materials used in the product or project, including upstream impacts associated with material extraction and processing. Fill the data in relation to the Functional Unit (FU) selected. </t>
  </si>
  <si>
    <t xml:space="preserve">Accounts for energy consumed during manufacturing or processing activities, including electricity and fuel use, to estimate associated greenhouse gas emissions. Fill the data in relation to the Functional Unit (FU) selected. </t>
  </si>
  <si>
    <t xml:space="preserve">Includes data on the transportation of raw materials, intermediate goods, and finished products, capturing distances, modes of transport, and fuel types. Fill the data in relation to the Functional Unit (FU) selected. </t>
  </si>
  <si>
    <t xml:space="preserve">Assesses emissions and impacts associated with the disposal, recycling, recovery, or treatment of the product at the end of its useful life. Fill the data in relation to the Functional Unit (FU) selected. </t>
  </si>
  <si>
    <t>Baseline-Project Level Impact Calculation Breakdown</t>
  </si>
  <si>
    <t>Annual Reporting</t>
  </si>
  <si>
    <t>Default cells with specific notes and instructions</t>
  </si>
  <si>
    <t>Cradle-to-Grave</t>
  </si>
  <si>
    <t>Baseline Project Level Reporting</t>
  </si>
  <si>
    <t>Annual Reporting Impact Calculation Breakdown</t>
  </si>
  <si>
    <t>Costs</t>
  </si>
  <si>
    <t>Currency</t>
  </si>
  <si>
    <t>Capital Expenditure (CAPEX)</t>
  </si>
  <si>
    <t>Operating Expenditure (OPEX)</t>
  </si>
  <si>
    <t>Revenue</t>
  </si>
  <si>
    <t>Total Annual Revenue</t>
  </si>
  <si>
    <t>Value</t>
  </si>
  <si>
    <t>Business Model Inventory</t>
  </si>
  <si>
    <t>Total Annual Cost (CAPEX + OPEX)</t>
  </si>
  <si>
    <t xml:space="preserve">Investor Impact </t>
  </si>
  <si>
    <t>Total Project Level Scenario</t>
  </si>
  <si>
    <t>Total Baseline Scenario</t>
  </si>
  <si>
    <t>Difference in the Scenario</t>
  </si>
  <si>
    <t>Annual (or) Project Emissions</t>
  </si>
  <si>
    <t>GHG Impact - Annual</t>
  </si>
  <si>
    <t>GHG Impact - Baseline-Project</t>
  </si>
  <si>
    <t xml:space="preserve">This sheet consolidates and summarises GHG emissions results for Annual Reporting. It highlights absolute emissions and key comparative indicators. </t>
  </si>
  <si>
    <t xml:space="preserve">This sheet consolidates and summarises GHG emissions results for both the baseline and project scenarios. It highlights absolute emissions, emissions reductions or avoidance, and key comparative indicators. </t>
  </si>
  <si>
    <t>This sheet captures financial data related to both the baseline and Annual/Project Level scenarios, such as capital costs, operating costs, and revenues. It enables the linkage between climate impact and financial performance.</t>
  </si>
  <si>
    <t>A brief overview of the organization/project intervention.</t>
  </si>
  <si>
    <t>Internal decision-making
Investor and stakeholder communication
Early- to growth-stage impact tracking</t>
  </si>
  <si>
    <t>GHG Impact Indicators</t>
  </si>
  <si>
    <t>Investor Ready Indicators</t>
  </si>
  <si>
    <t>Functional/Declared (FU) Unit</t>
  </si>
  <si>
    <t>Metrics that quantify the absolute and comparative greenhouse gas emissions of the project, including emissions generated and emissions reduced or avoided relative to a baseline scenario.</t>
  </si>
  <si>
    <t xml:space="preserve">Indicators/Metric Selection, Calculations and </t>
  </si>
  <si>
    <t>Quantifies the absolute and comparative greenhouse gas emissions of the project, including emissions generated annually and/or emissions reduced or avoided relative to a baseline scenario.</t>
  </si>
  <si>
    <t xml:space="preserve">Glossary </t>
  </si>
  <si>
    <t>Enter Company Name</t>
  </si>
  <si>
    <t>Enter Company Email</t>
  </si>
  <si>
    <t>Enter Company Contact Number</t>
  </si>
  <si>
    <t>Enter Company Address</t>
  </si>
  <si>
    <t>Company Email</t>
  </si>
  <si>
    <t>Company Contact</t>
  </si>
  <si>
    <t>Company Address</t>
  </si>
  <si>
    <t>State your Mission</t>
  </si>
  <si>
    <t>State the Long-term Goal of the Business Case</t>
  </si>
  <si>
    <t xml:space="preserve"> </t>
  </si>
  <si>
    <t>Prioritise high to low; max 4</t>
  </si>
  <si>
    <t>Fill in the relevant actors</t>
  </si>
  <si>
    <t>Fill in their respective roles</t>
  </si>
  <si>
    <t>Scope</t>
  </si>
  <si>
    <t>IPCC GWP Assessment Report</t>
  </si>
  <si>
    <r>
      <t>Specifies the system boundaries, measurement scope, and IPCC GWP AR included and excluded from the impact assessment. Please check the reference and instruction cells (</t>
    </r>
    <r>
      <rPr>
        <sz val="14"/>
        <color rgb="FFFFC000"/>
        <rFont val="Times New Roman"/>
        <family val="1"/>
      </rPr>
      <t>highlighted</t>
    </r>
    <r>
      <rPr>
        <sz val="14"/>
        <color theme="1"/>
        <rFont val="Times New Roman"/>
        <family val="1"/>
      </rPr>
      <t xml:space="preserve">) below for the specific boundary and scope. </t>
    </r>
  </si>
  <si>
    <r>
      <t>Establishes the reference unit against which all impacts are normalized to ensure consistent and comparable results. The units should be comparable.</t>
    </r>
    <r>
      <rPr>
        <i/>
        <sz val="14"/>
        <color theme="1"/>
        <rFont val="Times New Roman"/>
        <family val="1"/>
      </rPr>
      <t xml:space="preserve"> (i.e.) you can compare 1000 units or 1kg of plastic straw with 1000 units or 1kg of bio-based straws. </t>
    </r>
  </si>
  <si>
    <t>Emissions Generated</t>
  </si>
  <si>
    <t xml:space="preserve">The tool reports both GHG impact and Investor-ready Indicators per Functional/Declared (FU) unit. This tool reports GHG emissions expressed in kg-CO₂ eq. </t>
  </si>
  <si>
    <t>kg-CO₂ eq/litre</t>
  </si>
  <si>
    <t>kg-CO₂ eq</t>
  </si>
  <si>
    <t>CO₂ eq Emission Factor (tonne/MWh or kg/kWh)</t>
  </si>
  <si>
    <t>tonne-CO₂/tonne or kg-CO₂/kg</t>
  </si>
  <si>
    <t>Fuel CO₂ eq EF Master Table</t>
  </si>
  <si>
    <t>CO₂ eq Emission Factor</t>
  </si>
  <si>
    <t xml:space="preserve">CO₂ eq Emission Factor </t>
  </si>
  <si>
    <t>tonne-CO₂ eq/tonne or kg-CO2/kg</t>
  </si>
  <si>
    <t>Basaeline-Project Level Reporting</t>
  </si>
  <si>
    <t>Total Annual Scenario</t>
  </si>
  <si>
    <r>
      <t xml:space="preserve">Fill in the values corresponding to the same system boundary and functional unit (FU) as GHG emissions. Assumptions are fine but keep in mind that the values should represent the realistic and conservative value in relevance to the annual/project level scenario. </t>
    </r>
    <r>
      <rPr>
        <i/>
        <sz val="14"/>
        <color theme="1"/>
        <rFont val="Times New Roman"/>
        <family val="1"/>
      </rPr>
      <t>Note: CAPEX and OPEX is optional, but the total annual costs and revenue is mandatory.</t>
    </r>
  </si>
  <si>
    <t>kg-CO₂ eq/1 kg-plastic straw</t>
  </si>
  <si>
    <t>kg-CO₂ eq/1 kg-SB straw</t>
  </si>
  <si>
    <t>Life Cycle Phases</t>
  </si>
  <si>
    <t>Total Emissions generated in Raw Material Extraction Phase</t>
  </si>
  <si>
    <t>Total Emissions generateed in Raw Material Extraction Phase</t>
  </si>
  <si>
    <t>Manufacturing Phase</t>
  </si>
  <si>
    <t>Raw Material Extraction Used</t>
  </si>
  <si>
    <t xml:space="preserve">Transportation Phase </t>
  </si>
  <si>
    <t xml:space="preserve">End-of-Life (EoL) Phase </t>
  </si>
  <si>
    <t>Life Cycle Phases (Sub-Category)</t>
  </si>
  <si>
    <t>Raw Material Extraction Phase</t>
  </si>
  <si>
    <t>RM Sourcing</t>
  </si>
  <si>
    <r>
      <t xml:space="preserve">Total GHG emissions associated with the baseline and annual/project scenario, normalised per functional or declared unit (FU). 
</t>
    </r>
    <r>
      <rPr>
        <i/>
        <sz val="14"/>
        <color theme="1"/>
        <rFont val="Times New Roman"/>
        <family val="1"/>
      </rPr>
      <t>GHG emissions (kg-CO₂ eq/FU) = Activity data (units/FU) x Emission Factor (EF) (kg-CO₂ eq/units)</t>
    </r>
    <r>
      <rPr>
        <sz val="14"/>
        <color theme="1"/>
        <rFont val="Times New Roman"/>
        <family val="1"/>
      </rPr>
      <t xml:space="preserve">
</t>
    </r>
    <r>
      <rPr>
        <i/>
        <sz val="14"/>
        <color theme="1"/>
        <rFont val="Times New Roman"/>
        <family val="1"/>
      </rPr>
      <t>Total GHG emissions (kg-CO₂ eq/FU) = Total project GHG emissions (kg-CO₂ eq) / Functional or Declared Units</t>
    </r>
  </si>
  <si>
    <r>
      <t xml:space="preserve">The reduction or avoidance of GHG emissions achieved by the project compared to the baseline scenario, expressed per functional or declared unit. 
</t>
    </r>
    <r>
      <rPr>
        <i/>
        <sz val="14"/>
        <color theme="1"/>
        <rFont val="Times New Roman"/>
        <family val="1"/>
      </rPr>
      <t>Emissions reduced or avoided (kg-CO₂ eq/FU) = Baseline emissions - Project emissions / Functional or Declared Units</t>
    </r>
  </si>
  <si>
    <t>Assumption</t>
  </si>
  <si>
    <t>Annual Reporting - GHG Impact Results</t>
  </si>
  <si>
    <t>Baseline Project Level Reporting - GHG Impact Results</t>
  </si>
  <si>
    <t>per Functional Unit (FU)</t>
  </si>
  <si>
    <t>3. Transportation Phase</t>
  </si>
  <si>
    <t>4. End-of-Life (EoL) Treatment Phase</t>
  </si>
  <si>
    <t xml:space="preserve">2. Manufacturing Phase - Energy Use </t>
  </si>
  <si>
    <t>1. Raw Material (RM) Extraction &amp; Use Phase</t>
  </si>
  <si>
    <t>Add additional transport, if necessary</t>
  </si>
  <si>
    <t>Indicators/Metric</t>
  </si>
  <si>
    <t xml:space="preserve">Description and Formula </t>
  </si>
  <si>
    <t>Interpretation</t>
  </si>
  <si>
    <t>Results</t>
  </si>
  <si>
    <t>Leakage Inventory</t>
  </si>
  <si>
    <t>Leakage category</t>
  </si>
  <si>
    <t>Guiding question</t>
  </si>
  <si>
    <t>Upstream leakage</t>
  </si>
  <si>
    <t>Does the project increase emissions in raw material sourcing?</t>
  </si>
  <si>
    <t>Downstream leakage</t>
  </si>
  <si>
    <t>Does waste, disposal, or reuse cause emissions elsewhere?</t>
  </si>
  <si>
    <t>Market displacement</t>
  </si>
  <si>
    <t>Does the baseline product continue to be produced/sold elsewhere?</t>
  </si>
  <si>
    <t>Behavioural leakage</t>
  </si>
  <si>
    <t>Does lower cost or “green” perception increase consumption?</t>
  </si>
  <si>
    <t>Geographical shift</t>
  </si>
  <si>
    <t>Does production move to a more carbon-intensive region?</t>
  </si>
  <si>
    <t>Answers</t>
  </si>
  <si>
    <t>Net Emissions Reduction/Avoided Emissions (incl. Leakage)</t>
  </si>
  <si>
    <t>Difference in the Scenario (incl. Leakage)</t>
  </si>
  <si>
    <t>Impact calculations are derived from primary activity data provided by the SME and secondary emission factors sourced from recognised, verified databases and literature.</t>
  </si>
  <si>
    <t>Fossil based CO₂-eq are modelled in this tool. Exception is that Biogenic CO₂ eq is not modelled in this model. 
It is not a substitute for third-party verified GHG accounting unless explicitly stated.</t>
  </si>
  <si>
    <t>GHG (CO₂ eq) Emissions</t>
  </si>
  <si>
    <r>
      <t xml:space="preserve">Fill in the values corresponding to the same system boundary and functional unit (FU) as GHG emissions. Assumptions are fine but keep in mind that the values should represent a realistic and conservative value in relevance to the baseline scenario. </t>
    </r>
    <r>
      <rPr>
        <i/>
        <sz val="14"/>
        <color theme="1"/>
        <rFont val="Times New Roman"/>
        <family val="1"/>
      </rPr>
      <t xml:space="preserve">Note: </t>
    </r>
    <r>
      <rPr>
        <b/>
        <i/>
        <sz val="14"/>
        <color theme="1"/>
        <rFont val="Times New Roman"/>
        <family val="1"/>
      </rPr>
      <t>Values must be entered in relation to the Functional Unit (FU) selected.</t>
    </r>
    <r>
      <rPr>
        <i/>
        <sz val="14"/>
        <color theme="1"/>
        <rFont val="Times New Roman"/>
        <family val="1"/>
      </rPr>
      <t xml:space="preserve"> CAPEX and OPEX is optional, but the total annual costs and revenue is mandatory.</t>
    </r>
  </si>
  <si>
    <t>Company Theory of Change (TOC)</t>
  </si>
  <si>
    <r>
      <t xml:space="preserve">The GHG emissions generated per unit of revenue, showing the GHG emissions footprint relative to economic output.
</t>
    </r>
    <r>
      <rPr>
        <i/>
        <sz val="14"/>
        <color theme="1"/>
        <rFont val="Times New Roman"/>
        <family val="1"/>
      </rPr>
      <t>GHG Emissions intensity = Project GHG emissions (kg-CO₂ eq/FU) / Revenue per FU</t>
    </r>
  </si>
  <si>
    <r>
      <t xml:space="preserve">The amount of GHG emissions associated with each unit of cost, indicating how efficiently financial resources are used from a carbon perspective. 
</t>
    </r>
    <r>
      <rPr>
        <i/>
        <sz val="14"/>
        <color theme="1"/>
        <rFont val="Times New Roman"/>
        <family val="1"/>
      </rPr>
      <t>GHG Emissions efficiency = Project GHG emissions (kg-CO₂ eq/FU) / Cost per FU</t>
    </r>
  </si>
  <si>
    <t xml:space="preserve">How much carbon is emitted per unit of money spent. 
Lower the better. Lower value means:
- Less emissions per monetary value invested
- Better climate performance per monetary value </t>
  </si>
  <si>
    <t>GHG emissions generated per unit of revenue earned. 
Lower the better. Lower value means:
- More revenue generated per kg CO₂ eq
- Cleaner business model economically</t>
  </si>
  <si>
    <t>The climate benefit of switching from the baseline to the project
- Positive value = climate benefit (or) net emissions reduced/avoided 
- Zero = no climate advantage
- Negative = worse than baseline (or) net added emissions of the project</t>
  </si>
  <si>
    <t>The absolute climate footprint in relation to the functional unit (FU)
(e.g. 1 kg of straws, 1,000 straws, 1 service delivered)</t>
  </si>
  <si>
    <t>Carbon efficiency 
(kg-CO₂e/FU cost)</t>
  </si>
  <si>
    <t>Emissions intensity 
(kg-CO₂e/FU revenue)</t>
  </si>
  <si>
    <t>Emissions reduced or avoided 
(kg-CO₂e/FU)</t>
  </si>
  <si>
    <t>Total GHG emissions 
(kg-CO₂e/FU)</t>
  </si>
  <si>
    <t>Cradle-to-Gate</t>
  </si>
  <si>
    <t>Cradle-to-Gate + Distribution</t>
  </si>
  <si>
    <t>EoL Treatment Process</t>
  </si>
  <si>
    <t>Total Annual Emissions</t>
  </si>
  <si>
    <t>Total Project Level Emissions</t>
  </si>
  <si>
    <t>GHG (CO₂ eq) Efficiency</t>
  </si>
  <si>
    <t>GHG (CO₂ eq) Intensity</t>
  </si>
  <si>
    <t>Financial Terms</t>
  </si>
  <si>
    <t>Emission Terms</t>
  </si>
  <si>
    <t>Life Cycle Stages Terms</t>
  </si>
  <si>
    <t>Project Requirements  Terms</t>
  </si>
  <si>
    <t>Project Description Terms</t>
  </si>
  <si>
    <t>Company Description Terms</t>
  </si>
  <si>
    <t>Indicator/Metric terms</t>
  </si>
  <si>
    <t>The long-term aspiration of the company describing the positive change it aims to create in the world.</t>
  </si>
  <si>
    <t>The company’s core purpose and approach, outlining what it does, for whom, and how it delivers value.</t>
  </si>
  <si>
    <t>A clear description of the environmental, social, or market challenge the company seeks to address.</t>
  </si>
  <si>
    <t>The intended long-term environmental or climate outcome the company aims to achieve (e.g., emissions reduction, resource efficiency).</t>
  </si>
  <si>
    <t>The sustainability pillars addressed by the company, typically including environmental, social, and economic dimensions.</t>
  </si>
  <si>
    <t>The official name of the project or intervention being assessed.</t>
  </si>
  <si>
    <t>The organisation or entity responsible for proposing and implementing the project.</t>
  </si>
  <si>
    <t>The total financial investment required to implement the project.</t>
  </si>
  <si>
    <t>The organisation(s) providing financial support for the project (e.g., investors, donors, grants).</t>
  </si>
  <si>
    <t>The organisation responsible for on-ground execution and implementation of the project.</t>
  </si>
  <si>
    <t>The current stage of the project (e.g., planned, ongoing, completed).</t>
  </si>
  <si>
    <t>The reference year used to establish baseline emissions or performance prior to project implementation.</t>
  </si>
  <si>
    <t>The year for which emissions, impacts, or performance indicators are calculated and reported.</t>
  </si>
  <si>
    <t>The defined range of activities, processes, or emissions included in the assessment.</t>
  </si>
  <si>
    <t>Assessment and reporting of emissions or impacts for a single reporting year.</t>
  </si>
  <si>
    <t>Emissions or impacts that would occur in the absence of the project (business-as-usual scenario).</t>
  </si>
  <si>
    <t>Defines which life-cycle stages, processes, and activities are included or excluded from the assessment.</t>
  </si>
  <si>
    <t>Assessment from raw material extraction up to the factory gate, excluding distribution, use, and end-of-life.</t>
  </si>
  <si>
    <t>Assessment from raw material extraction through manufacturing and distribution to customers.</t>
  </si>
  <si>
    <t>Assessment covering the full life cycle, from raw material extraction to end-of-life treatment.</t>
  </si>
  <si>
    <t>Assessment from agricultural production up to the point the product leaves the farm or processing facility.</t>
  </si>
  <si>
    <t>The IPCC report version used for Global Warming Potential (GWP) values (e.g., AR5, AR6).</t>
  </si>
  <si>
    <t>The quantified reference unit to which emissions and impacts are normalised (e.g., 1 kg of product).</t>
  </si>
  <si>
    <t>The stage covering extraction, cultivation, or sourcing of raw materials used in the product or process.</t>
  </si>
  <si>
    <t>The category of material used (e.g., plastic, biomass, metal).</t>
  </si>
  <si>
    <t>The specific raw material used (e.g., polypropylene, coconut leaves).</t>
  </si>
  <si>
    <t>The stage covering energy and resource use during manufacturing or processing.</t>
  </si>
  <si>
    <t>The type of energy used for manufacturing (e.g., grid electricity, renewable energy).</t>
  </si>
  <si>
    <t>The type of water used (e.g., freshwater, recycled water).</t>
  </si>
  <si>
    <t>The stage covering transport of materials, intermediates, or products.</t>
  </si>
  <si>
    <t>Broad classification of transport modes (e.g., road, rail, sea).</t>
  </si>
  <si>
    <t>Specific vehicle used (e.g., truck, van, ship).</t>
  </si>
  <si>
    <t>Fuel used for transport (e.g., diesel, petrol, electricity).</t>
  </si>
  <si>
    <t>The stage covering treatment or disposal of products at the end of their useful life.</t>
  </si>
  <si>
    <t>The method used to treat waste (e.g., recycling, composting, landfill, incineration).</t>
  </si>
  <si>
    <t>Emissions that occur outside the project boundary as an indirect result of the project, potentially reducing net climate benefits.</t>
  </si>
  <si>
    <t>Total greenhouse gas emissions generated by the project activities in a reporting year.</t>
  </si>
  <si>
    <t>Emissions that would have occurred under the baseline (business-as-usual) scenario.</t>
  </si>
  <si>
    <t>Actual emissions generated by the project scenario.</t>
  </si>
  <si>
    <t>The difference between baseline emissions and project emissions after accounting for leakage.</t>
  </si>
  <si>
    <t>All expenses incurred in implementing and operating the project.</t>
  </si>
  <si>
    <t>One-time or upfront investment costs (e.g., equipment, infrastructure).</t>
  </si>
  <si>
    <t>Recurring costs required for ongoing operation (e.g., labour, energy, maintenance).</t>
  </si>
  <si>
    <t>The combined annualised capital and operating costs.</t>
  </si>
  <si>
    <t>Income generated from the sale of products or services during the reporting year.</t>
  </si>
  <si>
    <t>The total greenhouse gas emissions expressed in kilograms of CO₂ equivalent.</t>
  </si>
  <si>
    <t>GHG emissions per unit of cost, indicating how efficiently financial resources are used from a carbon perspective.</t>
  </si>
  <si>
    <t>GHG emissions per unit of revenue, indicating the carbon footprint relative to economic output.</t>
  </si>
  <si>
    <t xml:space="preserve">Income generated from the sale of products or services </t>
  </si>
  <si>
    <t>-</t>
  </si>
  <si>
    <t>Vans</t>
  </si>
  <si>
    <t>Class I (up to 1.305 tonnes)</t>
  </si>
  <si>
    <t>Class II (1.305 to 1.74 tonnes)</t>
  </si>
  <si>
    <t>Class III (1.74 to 3.5 tonnes)</t>
  </si>
  <si>
    <t>Average (up to 3.5 tonnes)</t>
  </si>
  <si>
    <t>Petrol</t>
  </si>
  <si>
    <t>Battery (EV)</t>
  </si>
  <si>
    <t>Heavy Goods Vehicles (HGVs)</t>
  </si>
  <si>
    <t>Rigid (&gt;3.5 - 7.5 tonnes)</t>
  </si>
  <si>
    <t>Rigid (&gt;7.5 tonnes-17 tonnes)</t>
  </si>
  <si>
    <t>Rigid (&gt;17 tonnes)</t>
  </si>
  <si>
    <t>Articulated (&gt;3.5 - 33t)</t>
  </si>
  <si>
    <t>Articulated (&gt;33t)</t>
  </si>
  <si>
    <t>HGV refrigerated</t>
  </si>
  <si>
    <t>Small car</t>
  </si>
  <si>
    <t>Medium car</t>
  </si>
  <si>
    <t>Large car</t>
  </si>
  <si>
    <t>Average car</t>
  </si>
  <si>
    <t>Hybrid</t>
  </si>
  <si>
    <t>Plug-in Hybrid EV</t>
  </si>
  <si>
    <t>Battery EV</t>
  </si>
  <si>
    <t>n/a</t>
  </si>
  <si>
    <t>Transportation Master Table (India Specific Road Transport Emission Factors (UK DEFRA,2025))</t>
  </si>
  <si>
    <t>kg CO₂ eq/tonne-km</t>
  </si>
  <si>
    <t>kg CO₂ eq/km</t>
  </si>
  <si>
    <t>HGVs - Rigid (&gt;3.5 - 7.5 tonnes)</t>
  </si>
  <si>
    <t>HGVs - Rigid (&gt;7.5 tonnes-17 tonnes)</t>
  </si>
  <si>
    <t>HGVs - Rigid (&gt;17 tonnes)</t>
  </si>
  <si>
    <t>HGVs - All rigids</t>
  </si>
  <si>
    <t>HGVs - Articulated (&gt;3.5 - 33t)</t>
  </si>
  <si>
    <t>HGVs - Articulated (&gt;33t)</t>
  </si>
  <si>
    <t>HGVs - All artics</t>
  </si>
  <si>
    <t>HGVs - Refrigerated - Rigid (&gt;3.5 - 7.5 tonnes)</t>
  </si>
  <si>
    <t>HGVs - Refrigerated - Rigid (&gt;7.5 tonnes-17 tonnes)</t>
  </si>
  <si>
    <t>HGVs - Refrigerated - Rigid (&gt;17 tonnes)</t>
  </si>
  <si>
    <t>HGVs - Refrigerated - All rigids</t>
  </si>
  <si>
    <t>HGVs - Refrigerated - Articulated (&gt;3.5 - 33t)</t>
  </si>
  <si>
    <t>HGVs - Refrigerated - Articulated (&gt;33t)</t>
  </si>
  <si>
    <t>HGVs - Refrigerated - All artics</t>
  </si>
  <si>
    <t xml:space="preserve">HGVs - Refrigerated - All </t>
  </si>
  <si>
    <t>HGVs - All</t>
  </si>
  <si>
    <t xml:space="preserve">The coconut leaves are collected from the farm manually and transported 5 km to the farm gate using small tracktor. </t>
  </si>
  <si>
    <t>List out the agrifood residue used</t>
  </si>
  <si>
    <t>All articulated (average)</t>
  </si>
  <si>
    <t>All rigids (average)</t>
  </si>
  <si>
    <t>All HGVs (average)</t>
  </si>
  <si>
    <t>3 kg dry leaves are used for making 1 kg Sunbird Straws</t>
  </si>
  <si>
    <t>IPCC Guidelines, International and Regional recognized datasets (UK DEFRA)</t>
  </si>
  <si>
    <t>Please enter user name</t>
  </si>
  <si>
    <t>Please enter project duration in years</t>
  </si>
  <si>
    <t>Select Scope</t>
  </si>
  <si>
    <t>Select FU</t>
  </si>
  <si>
    <t>Select Boundary</t>
  </si>
  <si>
    <t>Please enter date</t>
  </si>
  <si>
    <t>Please enter project title</t>
  </si>
  <si>
    <t>Please enter project proponent</t>
  </si>
  <si>
    <t>Please enter project cost</t>
  </si>
  <si>
    <t>Please enter funding agency</t>
  </si>
  <si>
    <t>Please enter executing agency</t>
  </si>
  <si>
    <t>GHG (CO₂ eq) Emissions
(kg-CO₂eq/FU)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</si>
</sst>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 #,##0.00_ ;_ * \-#,##0.00_ ;_ * &quot;-&quot;??_ ;_ @_ "/>
    <numFmt numFmtId="164" formatCode="0.000"/>
    <numFmt numFmtId="165" formatCode="#,##0.000"/>
    <numFmt numFmtId="166" formatCode="[$-409]dd\-mmm\-yy;@"/>
    <numFmt numFmtId="167" formatCode="_-* #,##0.00_k_r_._-;\-* #,##0.00_k_r_._-;_-* &quot;-&quot;??_k_r_._-;_-@_-"/>
    <numFmt numFmtId="168" formatCode="[$-409]d\-mmm\-yy;@"/>
    <numFmt numFmtId="169" formatCode="0.000000"/>
    <numFmt numFmtId="170" formatCode="0.00000"/>
  </numFmts>
  <fonts count="6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rgb="FF002060"/>
      <name val="Calibri"/>
      <family val="2"/>
      <scheme val="minor"/>
    </font>
    <font>
      <b/>
      <sz val="11"/>
      <name val="Calibri"/>
      <family val="2"/>
      <scheme val="minor"/>
    </font>
    <font>
      <sz val="11"/>
      <color theme="0"/>
      <name val="Calibri"/>
      <family val="2"/>
      <scheme val="minor"/>
    </font>
    <font>
      <sz val="11"/>
      <name val="Calibri"/>
      <family val="2"/>
      <scheme val="minor"/>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1"/>
      <color theme="10"/>
      <name val="Calibri"/>
      <family val="2"/>
    </font>
    <font>
      <sz val="9"/>
      <color indexed="81"/>
      <name val="Tahoma"/>
      <family val="2"/>
    </font>
    <font>
      <sz val="8"/>
      <name val="Calibri"/>
      <family val="2"/>
      <scheme val="minor"/>
    </font>
    <font>
      <sz val="12"/>
      <color theme="1"/>
      <name val="Times New Roman"/>
      <family val="1"/>
    </font>
    <font>
      <b/>
      <sz val="12"/>
      <color theme="1"/>
      <name val="Times New Roman"/>
      <family val="1"/>
    </font>
    <font>
      <b/>
      <sz val="14"/>
      <color theme="1"/>
      <name val="Times New Roman"/>
      <family val="1"/>
    </font>
    <font>
      <b/>
      <sz val="16"/>
      <color theme="1"/>
      <name val="Times New Roman"/>
      <family val="1"/>
    </font>
    <font>
      <i/>
      <sz val="12"/>
      <color rgb="FF969696"/>
      <name val="Times New Roman"/>
      <family val="1"/>
    </font>
    <font>
      <b/>
      <sz val="12"/>
      <color indexed="81"/>
      <name val="Times New Roman"/>
      <family val="1"/>
    </font>
    <font>
      <sz val="12"/>
      <color indexed="81"/>
      <name val="Times New Roman"/>
      <family val="1"/>
    </font>
    <font>
      <sz val="12"/>
      <name val="Times New Roman"/>
      <family val="1"/>
    </font>
    <font>
      <sz val="14"/>
      <color theme="1"/>
      <name val="Times New Roman"/>
      <family val="1"/>
    </font>
    <font>
      <i/>
      <sz val="14"/>
      <color theme="1"/>
      <name val="Times New Roman"/>
      <family val="1"/>
    </font>
    <font>
      <i/>
      <sz val="14"/>
      <color theme="2" tint="-0.499984740745262"/>
      <name val="Times New Roman"/>
      <family val="1"/>
    </font>
    <font>
      <sz val="14"/>
      <name val="Times New Roman"/>
      <family val="1"/>
    </font>
    <font>
      <u/>
      <sz val="12"/>
      <color theme="10"/>
      <name val="Times New Roman"/>
      <family val="1"/>
    </font>
    <font>
      <b/>
      <sz val="18"/>
      <color theme="1"/>
      <name val="Times New Roman"/>
      <family val="1"/>
    </font>
    <font>
      <b/>
      <sz val="20"/>
      <color theme="1"/>
      <name val="Times New Roman"/>
      <family val="1"/>
    </font>
    <font>
      <i/>
      <sz val="18"/>
      <color theme="1"/>
      <name val="Times New Roman"/>
      <family val="1"/>
    </font>
    <font>
      <sz val="16"/>
      <color theme="1"/>
      <name val="Times New Roman"/>
      <family val="1"/>
    </font>
    <font>
      <b/>
      <i/>
      <sz val="14"/>
      <color theme="1"/>
      <name val="Times New Roman"/>
      <family val="1"/>
    </font>
    <font>
      <i/>
      <sz val="16"/>
      <color theme="1"/>
      <name val="Times New Roman"/>
      <family val="1"/>
    </font>
    <font>
      <i/>
      <sz val="14"/>
      <color rgb="FF969696"/>
      <name val="Times New Roman"/>
      <family val="1"/>
    </font>
    <font>
      <sz val="14"/>
      <color rgb="FF000000"/>
      <name val="Times New Roman"/>
      <family val="1"/>
    </font>
    <font>
      <sz val="14"/>
      <color theme="1"/>
      <name val="Calibri"/>
      <family val="2"/>
      <scheme val="minor"/>
    </font>
    <font>
      <sz val="14"/>
      <color rgb="FFFFC000"/>
      <name val="Times New Roman"/>
      <family val="1"/>
    </font>
    <font>
      <b/>
      <sz val="14"/>
      <name val="Times New Roman"/>
      <family val="1"/>
    </font>
    <font>
      <vertAlign val="subscript"/>
      <sz val="11"/>
      <color theme="1"/>
      <name val="Calibri"/>
      <family val="2"/>
      <scheme val="minor"/>
    </font>
    <font>
      <i/>
      <sz val="16"/>
      <color theme="2" tint="-0.499984740745262"/>
      <name val="Times New Roman"/>
      <family val="1"/>
    </font>
    <font>
      <i/>
      <sz val="12"/>
      <color theme="1"/>
      <name val="Times New Roman"/>
      <family val="1"/>
    </font>
    <font>
      <b/>
      <sz val="11"/>
      <color indexed="81"/>
      <name val="Times New Roman"/>
      <family val="1"/>
    </font>
    <font>
      <sz val="11"/>
      <color indexed="81"/>
      <name val="Times New Roman"/>
      <family val="1"/>
    </font>
    <font>
      <b/>
      <u/>
      <sz val="14"/>
      <color theme="10"/>
      <name val="Times New Roman"/>
      <family val="1"/>
    </font>
  </fonts>
  <fills count="35">
    <fill>
      <patternFill patternType="none"/>
    </fill>
    <fill>
      <patternFill patternType="gray125"/>
    </fill>
    <fill>
      <patternFill patternType="solid">
        <fgColor theme="4"/>
        <bgColor indexed="64"/>
      </patternFill>
    </fill>
    <fill>
      <patternFill patternType="solid">
        <fgColor theme="4"/>
        <bgColor theme="4"/>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
      <patternFill patternType="solid">
        <fgColor theme="4" tint="0.59999389629810485"/>
        <bgColor theme="4"/>
      </patternFill>
    </fill>
    <fill>
      <patternFill patternType="solid">
        <fgColor theme="7" tint="0.79998168889431442"/>
        <bgColor indexed="64"/>
      </patternFill>
    </fill>
    <fill>
      <patternFill patternType="solid">
        <fgColor rgb="FFF0FFD5"/>
        <bgColor indexed="64"/>
      </patternFill>
    </fill>
    <fill>
      <patternFill patternType="solid">
        <fgColor rgb="FFD9F1FF"/>
        <bgColor indexed="64"/>
      </patternFill>
    </fill>
    <fill>
      <patternFill patternType="solid">
        <fgColor rgb="FFFFFF00"/>
        <bgColor indexed="64"/>
      </patternFill>
    </fill>
    <fill>
      <patternFill patternType="solid">
        <fgColor rgb="FFFFFF89"/>
        <bgColor indexed="64"/>
      </patternFill>
    </fill>
    <fill>
      <patternFill patternType="solid">
        <fgColor theme="9" tint="0.79998168889431442"/>
        <bgColor indexed="64"/>
      </patternFill>
    </fill>
  </fills>
  <borders count="76">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style="thin">
        <color indexed="64"/>
      </right>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
      <left style="thin">
        <color theme="9" tint="0.39997558519241921"/>
      </left>
      <right style="thin">
        <color theme="9" tint="0.39997558519241921"/>
      </right>
      <top/>
      <bottom style="thin">
        <color theme="9" tint="0.39997558519241921"/>
      </bottom>
      <diagonal/>
    </border>
    <border>
      <left/>
      <right style="thin">
        <color theme="9" tint="0.39997558519241921"/>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theme="4" tint="0.39997558519241921"/>
      </left>
      <right style="thin">
        <color theme="4" tint="0.39997558519241921"/>
      </right>
      <top/>
      <bottom style="thin">
        <color theme="4" tint="0.399975585192419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diagonal/>
    </border>
    <border>
      <left style="thin">
        <color theme="5" tint="-0.249977111117893"/>
      </left>
      <right style="thin">
        <color theme="5" tint="-0.249977111117893"/>
      </right>
      <top style="thin">
        <color theme="5" tint="-0.249977111117893"/>
      </top>
      <bottom style="thin">
        <color theme="5" tint="-0.249977111117893"/>
      </bottom>
      <diagonal/>
    </border>
    <border>
      <left/>
      <right/>
      <top style="thin">
        <color theme="5" tint="-0.249977111117893"/>
      </top>
      <bottom style="thin">
        <color theme="5" tint="-0.249977111117893"/>
      </bottom>
      <diagonal/>
    </border>
    <border>
      <left style="thin">
        <color theme="5" tint="-0.249977111117893"/>
      </left>
      <right/>
      <top style="thin">
        <color theme="5" tint="-0.249977111117893"/>
      </top>
      <bottom/>
      <diagonal/>
    </border>
    <border>
      <left style="thin">
        <color theme="5" tint="-0.249977111117893"/>
      </left>
      <right/>
      <top/>
      <bottom/>
      <diagonal/>
    </border>
    <border>
      <left style="thin">
        <color theme="5" tint="-0.249977111117893"/>
      </left>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style="thin">
        <color theme="5" tint="-0.249977111117893"/>
      </left>
      <right style="thin">
        <color theme="5" tint="-0.249977111117893"/>
      </right>
      <top style="thin">
        <color theme="5" tint="-0.249977111117893"/>
      </top>
      <bottom/>
      <diagonal/>
    </border>
    <border>
      <left style="thin">
        <color theme="5" tint="-0.249977111117893"/>
      </left>
      <right style="thin">
        <color theme="5" tint="-0.249977111117893"/>
      </right>
      <top/>
      <bottom style="thin">
        <color theme="5" tint="-0.249977111117893"/>
      </bottom>
      <diagonal/>
    </border>
    <border>
      <left style="thin">
        <color theme="5" tint="-0.249977111117893"/>
      </left>
      <right style="thin">
        <color theme="5" tint="-0.249977111117893"/>
      </right>
      <top/>
      <bottom/>
      <diagonal/>
    </border>
    <border>
      <left style="thin">
        <color theme="5" tint="-0.249977111117893"/>
      </left>
      <right style="thin">
        <color theme="4" tint="0.39997558519241921"/>
      </right>
      <top style="thin">
        <color theme="5" tint="-0.249977111117893"/>
      </top>
      <bottom style="thin">
        <color theme="5" tint="-0.249977111117893"/>
      </bottom>
      <diagonal/>
    </border>
    <border>
      <left style="thin">
        <color theme="4" tint="0.39997558519241921"/>
      </left>
      <right style="thin">
        <color theme="5" tint="-0.249977111117893"/>
      </right>
      <top style="thin">
        <color theme="5" tint="-0.249977111117893"/>
      </top>
      <bottom style="thin">
        <color theme="5" tint="-0.249977111117893"/>
      </bottom>
      <diagonal/>
    </border>
    <border>
      <left/>
      <right/>
      <top style="thin">
        <color theme="5" tint="-0.249977111117893"/>
      </top>
      <bottom/>
      <diagonal/>
    </border>
    <border>
      <left/>
      <right style="thin">
        <color theme="5" tint="-0.249977111117893"/>
      </right>
      <top style="thin">
        <color theme="5" tint="-0.249977111117893"/>
      </top>
      <bottom style="thin">
        <color theme="5" tint="-0.249977111117893"/>
      </bottom>
      <diagonal/>
    </border>
    <border>
      <left style="thin">
        <color theme="9" tint="0.39997558519241921"/>
      </left>
      <right/>
      <top style="thin">
        <color theme="9" tint="0.39997558519241921"/>
      </top>
      <bottom/>
      <diagonal/>
    </border>
    <border>
      <left style="thin">
        <color theme="9" tint="0.39997558519241921"/>
      </left>
      <right style="thin">
        <color theme="9" tint="0.39997558519241921"/>
      </right>
      <top/>
      <bottom/>
      <diagonal/>
    </border>
    <border>
      <left style="thin">
        <color theme="9" tint="0.39997558519241921"/>
      </left>
      <right/>
      <top/>
      <bottom style="thin">
        <color theme="9" tint="0.39997558519241921"/>
      </bottom>
      <diagonal/>
    </border>
    <border>
      <left/>
      <right style="thin">
        <color theme="9" tint="0.39997558519241921"/>
      </right>
      <top style="thin">
        <color theme="9" tint="0.39997558519241921"/>
      </top>
      <bottom/>
      <diagonal/>
    </border>
    <border>
      <left/>
      <right style="thin">
        <color theme="5" tint="-0.249977111117893"/>
      </right>
      <top/>
      <bottom/>
      <diagonal/>
    </border>
    <border>
      <left/>
      <right style="thin">
        <color theme="5" tint="-0.249977111117893"/>
      </right>
      <top/>
      <bottom style="thin">
        <color theme="5" tint="-0.249977111117893"/>
      </bottom>
      <diagonal/>
    </border>
    <border>
      <left style="thin">
        <color rgb="FFE3DE00"/>
      </left>
      <right style="thin">
        <color rgb="FFE3DE00"/>
      </right>
      <top style="thin">
        <color rgb="FFE3DE00"/>
      </top>
      <bottom style="thin">
        <color rgb="FFE3DE00"/>
      </bottom>
      <diagonal/>
    </border>
    <border>
      <left/>
      <right/>
      <top/>
      <bottom style="thin">
        <color theme="7"/>
      </bottom>
      <diagonal/>
    </border>
    <border>
      <left style="thin">
        <color theme="7" tint="-0.499984740745262"/>
      </left>
      <right style="thin">
        <color theme="7" tint="-0.499984740745262"/>
      </right>
      <top style="thin">
        <color theme="7" tint="-0.499984740745262"/>
      </top>
      <bottom style="thin">
        <color theme="7" tint="-0.499984740745262"/>
      </bottom>
      <diagonal/>
    </border>
    <border>
      <left style="thin">
        <color theme="7" tint="-0.499984740745262"/>
      </left>
      <right/>
      <top style="thin">
        <color theme="7" tint="-0.499984740745262"/>
      </top>
      <bottom style="thin">
        <color theme="7" tint="-0.499984740745262"/>
      </bottom>
      <diagonal/>
    </border>
    <border>
      <left/>
      <right style="thin">
        <color theme="7" tint="-0.499984740745262"/>
      </right>
      <top style="thin">
        <color theme="7" tint="-0.499984740745262"/>
      </top>
      <bottom style="thin">
        <color theme="7" tint="-0.499984740745262"/>
      </bottom>
      <diagonal/>
    </border>
    <border>
      <left style="thin">
        <color theme="9" tint="0.39997558519241921"/>
      </left>
      <right style="thin">
        <color theme="9" tint="0.39997558519241921"/>
      </right>
      <top style="thin">
        <color theme="4" tint="0.39997558519241921"/>
      </top>
      <bottom/>
      <diagonal/>
    </border>
    <border>
      <left style="thin">
        <color theme="9" tint="0.39997558519241921"/>
      </left>
      <right/>
      <top/>
      <bottom/>
      <diagonal/>
    </border>
    <border>
      <left/>
      <right style="thin">
        <color theme="9" tint="0.39997558519241921"/>
      </right>
      <top/>
      <bottom/>
      <diagonal/>
    </border>
    <border>
      <left/>
      <right style="thin">
        <color theme="5" tint="-0.249977111117893"/>
      </right>
      <top style="thin">
        <color theme="5" tint="-0.249977111117893"/>
      </top>
      <bottom/>
      <diagonal/>
    </border>
    <border>
      <left/>
      <right style="thin">
        <color theme="5" tint="-0.249977111117893"/>
      </right>
      <top style="thin">
        <color theme="4" tint="0.39997558519241921"/>
      </top>
      <bottom style="thin">
        <color theme="4" tint="0.39997558519241921"/>
      </bottom>
      <diagonal/>
    </border>
    <border>
      <left/>
      <right style="thin">
        <color theme="9" tint="0.39997558519241921"/>
      </right>
      <top style="thin">
        <color theme="4" tint="0.39997558519241921"/>
      </top>
      <bottom/>
      <diagonal/>
    </border>
    <border>
      <left style="thin">
        <color theme="9" tint="0.39997558519241921"/>
      </left>
      <right/>
      <top style="thin">
        <color theme="9" tint="0.39997558519241921"/>
      </top>
      <bottom style="thin">
        <color theme="5" tint="-0.249977111117893"/>
      </bottom>
      <diagonal/>
    </border>
    <border>
      <left/>
      <right style="thin">
        <color theme="9" tint="0.39997558519241921"/>
      </right>
      <top style="thin">
        <color theme="9" tint="0.39997558519241921"/>
      </top>
      <bottom style="thin">
        <color theme="5" tint="-0.249977111117893"/>
      </bottom>
      <diagonal/>
    </border>
  </borders>
  <cellStyleXfs count="207">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166" fontId="10" fillId="0" borderId="0"/>
    <xf numFmtId="166" fontId="10" fillId="0" borderId="0"/>
    <xf numFmtId="166" fontId="10" fillId="0" borderId="0"/>
    <xf numFmtId="0" fontId="1" fillId="0" borderId="0"/>
    <xf numFmtId="166" fontId="10" fillId="0" borderId="0"/>
    <xf numFmtId="166" fontId="12" fillId="5" borderId="0" applyNumberFormat="0" applyBorder="0" applyAlignment="0" applyProtection="0"/>
    <xf numFmtId="166" fontId="12" fillId="6" borderId="0" applyNumberFormat="0" applyBorder="0" applyAlignment="0" applyProtection="0"/>
    <xf numFmtId="166" fontId="12" fillId="7" borderId="0" applyNumberFormat="0" applyBorder="0" applyAlignment="0" applyProtection="0"/>
    <xf numFmtId="166" fontId="12" fillId="8" borderId="0" applyNumberFormat="0" applyBorder="0" applyAlignment="0" applyProtection="0"/>
    <xf numFmtId="166" fontId="12" fillId="9" borderId="0" applyNumberFormat="0" applyBorder="0" applyAlignment="0" applyProtection="0"/>
    <xf numFmtId="166" fontId="12" fillId="10" borderId="0" applyNumberFormat="0" applyBorder="0" applyAlignment="0" applyProtection="0"/>
    <xf numFmtId="166" fontId="12" fillId="11" borderId="0" applyNumberFormat="0" applyBorder="0" applyAlignment="0" applyProtection="0"/>
    <xf numFmtId="166" fontId="12" fillId="12" borderId="0" applyNumberFormat="0" applyBorder="0" applyAlignment="0" applyProtection="0"/>
    <xf numFmtId="166" fontId="12" fillId="13" borderId="0" applyNumberFormat="0" applyBorder="0" applyAlignment="0" applyProtection="0"/>
    <xf numFmtId="166" fontId="12" fillId="8" borderId="0" applyNumberFormat="0" applyBorder="0" applyAlignment="0" applyProtection="0"/>
    <xf numFmtId="166" fontId="12" fillId="11" borderId="0" applyNumberFormat="0" applyBorder="0" applyAlignment="0" applyProtection="0"/>
    <xf numFmtId="166" fontId="12" fillId="14" borderId="0" applyNumberFormat="0" applyBorder="0" applyAlignment="0" applyProtection="0"/>
    <xf numFmtId="166" fontId="13" fillId="15" borderId="0" applyNumberFormat="0" applyBorder="0" applyAlignment="0" applyProtection="0"/>
    <xf numFmtId="166" fontId="13" fillId="12" borderId="0" applyNumberFormat="0" applyBorder="0" applyAlignment="0" applyProtection="0"/>
    <xf numFmtId="166" fontId="13" fillId="13"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8" borderId="0" applyNumberFormat="0" applyBorder="0" applyAlignment="0" applyProtection="0"/>
    <xf numFmtId="166" fontId="13" fillId="19" borderId="0" applyNumberFormat="0" applyBorder="0" applyAlignment="0" applyProtection="0"/>
    <xf numFmtId="166" fontId="13" fillId="20" borderId="0" applyNumberFormat="0" applyBorder="0" applyAlignment="0" applyProtection="0"/>
    <xf numFmtId="166" fontId="13" fillId="21"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22" borderId="0" applyNumberFormat="0" applyBorder="0" applyAlignment="0" applyProtection="0"/>
    <xf numFmtId="166" fontId="14" fillId="6" borderId="0" applyNumberFormat="0" applyBorder="0" applyAlignment="0" applyProtection="0"/>
    <xf numFmtId="166" fontId="15" fillId="23" borderId="4" applyNumberFormat="0" applyAlignment="0" applyProtection="0"/>
    <xf numFmtId="166" fontId="16" fillId="24" borderId="5" applyNumberFormat="0" applyAlignment="0" applyProtection="0"/>
    <xf numFmtId="166" fontId="17" fillId="0" borderId="0" applyNumberFormat="0" applyFill="0" applyBorder="0" applyAlignment="0" applyProtection="0"/>
    <xf numFmtId="166" fontId="18" fillId="7" borderId="0" applyNumberFormat="0" applyBorder="0" applyAlignment="0" applyProtection="0"/>
    <xf numFmtId="166" fontId="19" fillId="0" borderId="6" applyNumberFormat="0" applyFill="0" applyAlignment="0" applyProtection="0"/>
    <xf numFmtId="166" fontId="20" fillId="0" borderId="7" applyNumberFormat="0" applyFill="0" applyAlignment="0" applyProtection="0"/>
    <xf numFmtId="166" fontId="21" fillId="0" borderId="8" applyNumberFormat="0" applyFill="0" applyAlignment="0" applyProtection="0"/>
    <xf numFmtId="166" fontId="21" fillId="0" borderId="0" applyNumberFormat="0" applyFill="0" applyBorder="0" applyAlignment="0" applyProtection="0"/>
    <xf numFmtId="166" fontId="22" fillId="10" borderId="4" applyNumberFormat="0" applyAlignment="0" applyProtection="0"/>
    <xf numFmtId="166" fontId="23" fillId="0" borderId="9" applyNumberFormat="0" applyFill="0" applyAlignment="0" applyProtection="0"/>
    <xf numFmtId="166" fontId="24" fillId="25" borderId="0" applyNumberFormat="0" applyBorder="0" applyAlignment="0" applyProtection="0"/>
    <xf numFmtId="166" fontId="10" fillId="0" borderId="0"/>
    <xf numFmtId="166" fontId="10" fillId="26" borderId="10" applyNumberFormat="0" applyFont="0" applyAlignment="0" applyProtection="0"/>
    <xf numFmtId="166" fontId="25" fillId="23" borderId="11" applyNumberFormat="0" applyAlignment="0" applyProtection="0"/>
    <xf numFmtId="166" fontId="26" fillId="0" borderId="0" applyNumberFormat="0" applyFill="0" applyBorder="0" applyAlignment="0" applyProtection="0"/>
    <xf numFmtId="166" fontId="27" fillId="0" borderId="12" applyNumberFormat="0" applyFill="0" applyAlignment="0" applyProtection="0"/>
    <xf numFmtId="166" fontId="28" fillId="0" borderId="0" applyNumberFormat="0" applyFill="0" applyBorder="0" applyAlignment="0" applyProtection="0"/>
    <xf numFmtId="166" fontId="10" fillId="26" borderId="10" applyNumberFormat="0" applyFont="0" applyAlignment="0" applyProtection="0"/>
    <xf numFmtId="43" fontId="10" fillId="0" borderId="0" applyFont="0" applyFill="0" applyBorder="0" applyAlignment="0" applyProtection="0"/>
    <xf numFmtId="166" fontId="11" fillId="0" borderId="0" applyNumberFormat="0" applyFill="0" applyBorder="0" applyAlignment="0" applyProtection="0">
      <alignment vertical="top"/>
      <protection locked="0"/>
    </xf>
    <xf numFmtId="166" fontId="10" fillId="0" borderId="0"/>
    <xf numFmtId="166" fontId="10" fillId="0" borderId="0"/>
    <xf numFmtId="166" fontId="10" fillId="0" borderId="0"/>
    <xf numFmtId="167" fontId="10" fillId="0" borderId="0" applyFont="0" applyFill="0" applyBorder="0" applyAlignment="0" applyProtection="0"/>
    <xf numFmtId="0" fontId="1" fillId="0" borderId="0"/>
    <xf numFmtId="0" fontId="29" fillId="0" borderId="0" applyNumberFormat="0" applyFill="0" applyBorder="0" applyAlignment="0" applyProtection="0">
      <alignment vertical="top"/>
      <protection locked="0"/>
    </xf>
    <xf numFmtId="166" fontId="10" fillId="0" borderId="0"/>
    <xf numFmtId="166" fontId="12" fillId="5" borderId="0" applyNumberFormat="0" applyBorder="0" applyAlignment="0" applyProtection="0"/>
    <xf numFmtId="166" fontId="12" fillId="6" borderId="0" applyNumberFormat="0" applyBorder="0" applyAlignment="0" applyProtection="0"/>
    <xf numFmtId="166" fontId="12" fillId="7" borderId="0" applyNumberFormat="0" applyBorder="0" applyAlignment="0" applyProtection="0"/>
    <xf numFmtId="166" fontId="12" fillId="8" borderId="0" applyNumberFormat="0" applyBorder="0" applyAlignment="0" applyProtection="0"/>
    <xf numFmtId="166" fontId="12" fillId="9" borderId="0" applyNumberFormat="0" applyBorder="0" applyAlignment="0" applyProtection="0"/>
    <xf numFmtId="166" fontId="12" fillId="10" borderId="0" applyNumberFormat="0" applyBorder="0" applyAlignment="0" applyProtection="0"/>
    <xf numFmtId="166" fontId="12" fillId="11" borderId="0" applyNumberFormat="0" applyBorder="0" applyAlignment="0" applyProtection="0"/>
    <xf numFmtId="166" fontId="12" fillId="12" borderId="0" applyNumberFormat="0" applyBorder="0" applyAlignment="0" applyProtection="0"/>
    <xf numFmtId="166" fontId="12" fillId="13" borderId="0" applyNumberFormat="0" applyBorder="0" applyAlignment="0" applyProtection="0"/>
    <xf numFmtId="166" fontId="12" fillId="8" borderId="0" applyNumberFormat="0" applyBorder="0" applyAlignment="0" applyProtection="0"/>
    <xf numFmtId="166" fontId="12" fillId="11" borderId="0" applyNumberFormat="0" applyBorder="0" applyAlignment="0" applyProtection="0"/>
    <xf numFmtId="166" fontId="12" fillId="14" borderId="0" applyNumberFormat="0" applyBorder="0" applyAlignment="0" applyProtection="0"/>
    <xf numFmtId="166" fontId="13" fillId="15" borderId="0" applyNumberFormat="0" applyBorder="0" applyAlignment="0" applyProtection="0"/>
    <xf numFmtId="166" fontId="13" fillId="12" borderId="0" applyNumberFormat="0" applyBorder="0" applyAlignment="0" applyProtection="0"/>
    <xf numFmtId="166" fontId="13" fillId="13"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8" borderId="0" applyNumberFormat="0" applyBorder="0" applyAlignment="0" applyProtection="0"/>
    <xf numFmtId="166" fontId="13" fillId="19" borderId="0" applyNumberFormat="0" applyBorder="0" applyAlignment="0" applyProtection="0"/>
    <xf numFmtId="166" fontId="13" fillId="20" borderId="0" applyNumberFormat="0" applyBorder="0" applyAlignment="0" applyProtection="0"/>
    <xf numFmtId="166" fontId="13" fillId="21"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22" borderId="0" applyNumberFormat="0" applyBorder="0" applyAlignment="0" applyProtection="0"/>
    <xf numFmtId="166" fontId="14" fillId="6" borderId="0" applyNumberFormat="0" applyBorder="0" applyAlignment="0" applyProtection="0"/>
    <xf numFmtId="166" fontId="15" fillId="23" borderId="4" applyNumberFormat="0" applyAlignment="0" applyProtection="0"/>
    <xf numFmtId="166" fontId="16" fillId="24" borderId="5" applyNumberFormat="0" applyAlignment="0" applyProtection="0"/>
    <xf numFmtId="166" fontId="17" fillId="0" borderId="0" applyNumberFormat="0" applyFill="0" applyBorder="0" applyAlignment="0" applyProtection="0"/>
    <xf numFmtId="166" fontId="18" fillId="7" borderId="0" applyNumberFormat="0" applyBorder="0" applyAlignment="0" applyProtection="0"/>
    <xf numFmtId="166" fontId="19" fillId="0" borderId="6" applyNumberFormat="0" applyFill="0" applyAlignment="0" applyProtection="0"/>
    <xf numFmtId="166" fontId="20" fillId="0" borderId="7" applyNumberFormat="0" applyFill="0" applyAlignment="0" applyProtection="0"/>
    <xf numFmtId="166" fontId="21" fillId="0" borderId="8" applyNumberFormat="0" applyFill="0" applyAlignment="0" applyProtection="0"/>
    <xf numFmtId="166" fontId="21" fillId="0" borderId="0" applyNumberFormat="0" applyFill="0" applyBorder="0" applyAlignment="0" applyProtection="0"/>
    <xf numFmtId="166" fontId="22" fillId="10" borderId="4" applyNumberFormat="0" applyAlignment="0" applyProtection="0"/>
    <xf numFmtId="166" fontId="23" fillId="0" borderId="9" applyNumberFormat="0" applyFill="0" applyAlignment="0" applyProtection="0"/>
    <xf numFmtId="166" fontId="24" fillId="25" borderId="0" applyNumberFormat="0" applyBorder="0" applyAlignment="0" applyProtection="0"/>
    <xf numFmtId="166" fontId="10" fillId="26" borderId="10" applyNumberFormat="0" applyFont="0" applyAlignment="0" applyProtection="0"/>
    <xf numFmtId="166" fontId="25" fillId="23" borderId="11" applyNumberFormat="0" applyAlignment="0" applyProtection="0"/>
    <xf numFmtId="166" fontId="26" fillId="0" borderId="0" applyNumberFormat="0" applyFill="0" applyBorder="0" applyAlignment="0" applyProtection="0"/>
    <xf numFmtId="166" fontId="27" fillId="0" borderId="12" applyNumberFormat="0" applyFill="0" applyAlignment="0" applyProtection="0"/>
    <xf numFmtId="166" fontId="28" fillId="0" borderId="0" applyNumberFormat="0" applyFill="0" applyBorder="0" applyAlignment="0" applyProtection="0"/>
    <xf numFmtId="166" fontId="11" fillId="0" borderId="0" applyNumberFormat="0" applyFill="0" applyBorder="0" applyAlignment="0" applyProtection="0">
      <alignment vertical="top"/>
      <protection locked="0"/>
    </xf>
    <xf numFmtId="167" fontId="10" fillId="0" borderId="0" applyFont="0" applyFill="0" applyBorder="0" applyAlignment="0" applyProtection="0"/>
    <xf numFmtId="166" fontId="10" fillId="0" borderId="0"/>
    <xf numFmtId="168" fontId="12" fillId="5" borderId="0" applyNumberFormat="0" applyBorder="0" applyAlignment="0" applyProtection="0"/>
    <xf numFmtId="168" fontId="12" fillId="6" borderId="0" applyNumberFormat="0" applyBorder="0" applyAlignment="0" applyProtection="0"/>
    <xf numFmtId="168" fontId="12" fillId="7" borderId="0" applyNumberFormat="0" applyBorder="0" applyAlignment="0" applyProtection="0"/>
    <xf numFmtId="168" fontId="12" fillId="8" borderId="0" applyNumberFormat="0" applyBorder="0" applyAlignment="0" applyProtection="0"/>
    <xf numFmtId="168" fontId="12" fillId="9" borderId="0" applyNumberFormat="0" applyBorder="0" applyAlignment="0" applyProtection="0"/>
    <xf numFmtId="168" fontId="12" fillId="10" borderId="0" applyNumberFormat="0" applyBorder="0" applyAlignment="0" applyProtection="0"/>
    <xf numFmtId="168" fontId="12" fillId="11" borderId="0" applyNumberFormat="0" applyBorder="0" applyAlignment="0" applyProtection="0"/>
    <xf numFmtId="168" fontId="12" fillId="12" borderId="0" applyNumberFormat="0" applyBorder="0" applyAlignment="0" applyProtection="0"/>
    <xf numFmtId="168" fontId="12" fillId="13" borderId="0" applyNumberFormat="0" applyBorder="0" applyAlignment="0" applyProtection="0"/>
    <xf numFmtId="168" fontId="12" fillId="8" borderId="0" applyNumberFormat="0" applyBorder="0" applyAlignment="0" applyProtection="0"/>
    <xf numFmtId="168" fontId="12" fillId="11" borderId="0" applyNumberFormat="0" applyBorder="0" applyAlignment="0" applyProtection="0"/>
    <xf numFmtId="168" fontId="12" fillId="14" borderId="0" applyNumberFormat="0" applyBorder="0" applyAlignment="0" applyProtection="0"/>
    <xf numFmtId="168" fontId="13" fillId="15" borderId="0" applyNumberFormat="0" applyBorder="0" applyAlignment="0" applyProtection="0"/>
    <xf numFmtId="168" fontId="13" fillId="12" borderId="0" applyNumberFormat="0" applyBorder="0" applyAlignment="0" applyProtection="0"/>
    <xf numFmtId="168" fontId="13" fillId="13" borderId="0" applyNumberFormat="0" applyBorder="0" applyAlignment="0" applyProtection="0"/>
    <xf numFmtId="168" fontId="13" fillId="16" borderId="0" applyNumberFormat="0" applyBorder="0" applyAlignment="0" applyProtection="0"/>
    <xf numFmtId="168" fontId="13" fillId="17" borderId="0" applyNumberFormat="0" applyBorder="0" applyAlignment="0" applyProtection="0"/>
    <xf numFmtId="168" fontId="13" fillId="18" borderId="0" applyNumberFormat="0" applyBorder="0" applyAlignment="0" applyProtection="0"/>
    <xf numFmtId="168" fontId="13" fillId="19" borderId="0" applyNumberFormat="0" applyBorder="0" applyAlignment="0" applyProtection="0"/>
    <xf numFmtId="168" fontId="13" fillId="20" borderId="0" applyNumberFormat="0" applyBorder="0" applyAlignment="0" applyProtection="0"/>
    <xf numFmtId="168" fontId="13" fillId="21" borderId="0" applyNumberFormat="0" applyBorder="0" applyAlignment="0" applyProtection="0"/>
    <xf numFmtId="168" fontId="13" fillId="16" borderId="0" applyNumberFormat="0" applyBorder="0" applyAlignment="0" applyProtection="0"/>
    <xf numFmtId="168" fontId="13" fillId="17" borderId="0" applyNumberFormat="0" applyBorder="0" applyAlignment="0" applyProtection="0"/>
    <xf numFmtId="168" fontId="13" fillId="22" borderId="0" applyNumberFormat="0" applyBorder="0" applyAlignment="0" applyProtection="0"/>
    <xf numFmtId="168" fontId="14" fillId="6" borderId="0" applyNumberFormat="0" applyBorder="0" applyAlignment="0" applyProtection="0"/>
    <xf numFmtId="168" fontId="15" fillId="23" borderId="4" applyNumberFormat="0" applyAlignment="0" applyProtection="0"/>
    <xf numFmtId="168" fontId="16" fillId="24" borderId="5" applyNumberFormat="0" applyAlignment="0" applyProtection="0"/>
    <xf numFmtId="167" fontId="10" fillId="0" borderId="0" applyFont="0" applyFill="0" applyBorder="0" applyAlignment="0" applyProtection="0"/>
    <xf numFmtId="168" fontId="17" fillId="0" borderId="0" applyNumberFormat="0" applyFill="0" applyBorder="0" applyAlignment="0" applyProtection="0"/>
    <xf numFmtId="168" fontId="18" fillId="7" borderId="0" applyNumberFormat="0" applyBorder="0" applyAlignment="0" applyProtection="0"/>
    <xf numFmtId="168" fontId="19" fillId="0" borderId="6" applyNumberFormat="0" applyFill="0" applyAlignment="0" applyProtection="0"/>
    <xf numFmtId="168" fontId="20" fillId="0" borderId="7" applyNumberFormat="0" applyFill="0" applyAlignment="0" applyProtection="0"/>
    <xf numFmtId="168" fontId="21" fillId="0" borderId="8" applyNumberFormat="0" applyFill="0" applyAlignment="0" applyProtection="0"/>
    <xf numFmtId="168" fontId="21" fillId="0" borderId="0" applyNumberFormat="0" applyFill="0" applyBorder="0" applyAlignment="0" applyProtection="0"/>
    <xf numFmtId="168" fontId="22" fillId="10" borderId="4" applyNumberFormat="0" applyAlignment="0" applyProtection="0"/>
    <xf numFmtId="168" fontId="23" fillId="0" borderId="9" applyNumberFormat="0" applyFill="0" applyAlignment="0" applyProtection="0"/>
    <xf numFmtId="168" fontId="24" fillId="25" borderId="0" applyNumberFormat="0" applyBorder="0" applyAlignment="0" applyProtection="0"/>
    <xf numFmtId="168" fontId="10" fillId="0" borderId="0"/>
    <xf numFmtId="168" fontId="10" fillId="0" borderId="0"/>
    <xf numFmtId="168" fontId="10" fillId="0" borderId="0"/>
    <xf numFmtId="168" fontId="10" fillId="26" borderId="10" applyNumberFormat="0" applyFont="0" applyAlignment="0" applyProtection="0"/>
    <xf numFmtId="168" fontId="25" fillId="23" borderId="11" applyNumberFormat="0" applyAlignment="0" applyProtection="0"/>
    <xf numFmtId="168" fontId="26" fillId="0" borderId="0" applyNumberFormat="0" applyFill="0" applyBorder="0" applyAlignment="0" applyProtection="0"/>
    <xf numFmtId="168" fontId="27" fillId="0" borderId="12" applyNumberFormat="0" applyFill="0" applyAlignment="0" applyProtection="0"/>
    <xf numFmtId="168" fontId="28" fillId="0" borderId="0" applyNumberFormat="0" applyFill="0" applyBorder="0" applyAlignment="0" applyProtection="0"/>
    <xf numFmtId="9" fontId="10" fillId="0" borderId="0" applyFont="0" applyFill="0" applyBorder="0" applyAlignment="0" applyProtection="0"/>
    <xf numFmtId="0" fontId="1" fillId="0" borderId="0"/>
    <xf numFmtId="166" fontId="10" fillId="0" borderId="0"/>
    <xf numFmtId="166" fontId="12" fillId="5" borderId="0" applyNumberFormat="0" applyBorder="0" applyAlignment="0" applyProtection="0"/>
    <xf numFmtId="166" fontId="12" fillId="6" borderId="0" applyNumberFormat="0" applyBorder="0" applyAlignment="0" applyProtection="0"/>
    <xf numFmtId="166" fontId="12" fillId="7" borderId="0" applyNumberFormat="0" applyBorder="0" applyAlignment="0" applyProtection="0"/>
    <xf numFmtId="166" fontId="12" fillId="8" borderId="0" applyNumberFormat="0" applyBorder="0" applyAlignment="0" applyProtection="0"/>
    <xf numFmtId="166" fontId="12" fillId="9" borderId="0" applyNumberFormat="0" applyBorder="0" applyAlignment="0" applyProtection="0"/>
    <xf numFmtId="166" fontId="12" fillId="10" borderId="0" applyNumberFormat="0" applyBorder="0" applyAlignment="0" applyProtection="0"/>
    <xf numFmtId="166" fontId="12" fillId="11" borderId="0" applyNumberFormat="0" applyBorder="0" applyAlignment="0" applyProtection="0"/>
    <xf numFmtId="166" fontId="12" fillId="12" borderId="0" applyNumberFormat="0" applyBorder="0" applyAlignment="0" applyProtection="0"/>
    <xf numFmtId="166" fontId="12" fillId="13" borderId="0" applyNumberFormat="0" applyBorder="0" applyAlignment="0" applyProtection="0"/>
    <xf numFmtId="166" fontId="12" fillId="8" borderId="0" applyNumberFormat="0" applyBorder="0" applyAlignment="0" applyProtection="0"/>
    <xf numFmtId="166" fontId="12" fillId="11" borderId="0" applyNumberFormat="0" applyBorder="0" applyAlignment="0" applyProtection="0"/>
    <xf numFmtId="166" fontId="12" fillId="14" borderId="0" applyNumberFormat="0" applyBorder="0" applyAlignment="0" applyProtection="0"/>
    <xf numFmtId="166" fontId="13" fillId="15" borderId="0" applyNumberFormat="0" applyBorder="0" applyAlignment="0" applyProtection="0"/>
    <xf numFmtId="166" fontId="13" fillId="12" borderId="0" applyNumberFormat="0" applyBorder="0" applyAlignment="0" applyProtection="0"/>
    <xf numFmtId="166" fontId="13" fillId="13"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8" borderId="0" applyNumberFormat="0" applyBorder="0" applyAlignment="0" applyProtection="0"/>
    <xf numFmtId="166" fontId="13" fillId="19" borderId="0" applyNumberFormat="0" applyBorder="0" applyAlignment="0" applyProtection="0"/>
    <xf numFmtId="166" fontId="13" fillId="20" borderId="0" applyNumberFormat="0" applyBorder="0" applyAlignment="0" applyProtection="0"/>
    <xf numFmtId="166" fontId="13" fillId="21"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22" borderId="0" applyNumberFormat="0" applyBorder="0" applyAlignment="0" applyProtection="0"/>
    <xf numFmtId="166" fontId="14" fillId="6" borderId="0" applyNumberFormat="0" applyBorder="0" applyAlignment="0" applyProtection="0"/>
    <xf numFmtId="166" fontId="15" fillId="23" borderId="4" applyNumberFormat="0" applyAlignment="0" applyProtection="0"/>
    <xf numFmtId="166" fontId="16" fillId="24" borderId="5" applyNumberFormat="0" applyAlignment="0" applyProtection="0"/>
    <xf numFmtId="166" fontId="17" fillId="0" borderId="0" applyNumberFormat="0" applyFill="0" applyBorder="0" applyAlignment="0" applyProtection="0"/>
    <xf numFmtId="166" fontId="18" fillId="7" borderId="0" applyNumberFormat="0" applyBorder="0" applyAlignment="0" applyProtection="0"/>
    <xf numFmtId="166" fontId="19" fillId="0" borderId="6" applyNumberFormat="0" applyFill="0" applyAlignment="0" applyProtection="0"/>
    <xf numFmtId="166" fontId="20" fillId="0" borderId="7" applyNumberFormat="0" applyFill="0" applyAlignment="0" applyProtection="0"/>
    <xf numFmtId="166" fontId="21" fillId="0" borderId="8" applyNumberFormat="0" applyFill="0" applyAlignment="0" applyProtection="0"/>
    <xf numFmtId="166" fontId="21" fillId="0" borderId="0" applyNumberFormat="0" applyFill="0" applyBorder="0" applyAlignment="0" applyProtection="0"/>
    <xf numFmtId="166" fontId="22" fillId="10" borderId="4" applyNumberFormat="0" applyAlignment="0" applyProtection="0"/>
    <xf numFmtId="166" fontId="23" fillId="0" borderId="9" applyNumberFormat="0" applyFill="0" applyAlignment="0" applyProtection="0"/>
    <xf numFmtId="166" fontId="24" fillId="25" borderId="0" applyNumberFormat="0" applyBorder="0" applyAlignment="0" applyProtection="0"/>
    <xf numFmtId="166" fontId="10" fillId="26" borderId="10" applyNumberFormat="0" applyFont="0" applyAlignment="0" applyProtection="0"/>
    <xf numFmtId="166" fontId="25" fillId="23" borderId="11" applyNumberFormat="0" applyAlignment="0" applyProtection="0"/>
    <xf numFmtId="166" fontId="26" fillId="0" borderId="0" applyNumberFormat="0" applyFill="0" applyBorder="0" applyAlignment="0" applyProtection="0"/>
    <xf numFmtId="166" fontId="27" fillId="0" borderId="12" applyNumberFormat="0" applyFill="0" applyAlignment="0" applyProtection="0"/>
    <xf numFmtId="166" fontId="28" fillId="0" borderId="0" applyNumberFormat="0" applyFill="0" applyBorder="0" applyAlignment="0" applyProtection="0"/>
    <xf numFmtId="167" fontId="10" fillId="0" borderId="0" applyFont="0" applyFill="0" applyBorder="0" applyAlignment="0" applyProtection="0"/>
    <xf numFmtId="166" fontId="10" fillId="0" borderId="0"/>
    <xf numFmtId="0" fontId="1" fillId="0" borderId="0"/>
    <xf numFmtId="9" fontId="10" fillId="0" borderId="0" applyFont="0" applyFill="0" applyBorder="0" applyAlignment="0" applyProtection="0"/>
    <xf numFmtId="166" fontId="10"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0" fillId="0" borderId="0" applyFont="0" applyFill="0" applyBorder="0" applyAlignment="0" applyProtection="0"/>
  </cellStyleXfs>
  <cellXfs count="502">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0" fontId="3" fillId="0" borderId="0" xfId="0" applyFont="1" applyAlignment="1">
      <alignment horizontal="center" vertical="center" wrapText="1"/>
    </xf>
    <xf numFmtId="0" fontId="0" fillId="0" borderId="0" xfId="0" applyAlignment="1">
      <alignment horizontal="right" vertical="center"/>
    </xf>
    <xf numFmtId="0" fontId="2" fillId="28" borderId="0" xfId="0" applyFont="1" applyFill="1" applyAlignment="1">
      <alignment vertical="center" wrapText="1"/>
    </xf>
    <xf numFmtId="0" fontId="2" fillId="0" borderId="1" xfId="0" applyFont="1" applyBorder="1" applyAlignment="1">
      <alignment horizontal="center" vertical="center" wrapText="1"/>
    </xf>
    <xf numFmtId="164" fontId="0" fillId="0" borderId="0" xfId="0" applyNumberFormat="1" applyAlignment="1">
      <alignment vertical="center" wrapText="1"/>
    </xf>
    <xf numFmtId="0" fontId="0" fillId="27" borderId="0" xfId="0" applyFill="1" applyAlignment="1">
      <alignment horizontal="left" vertical="center" wrapText="1"/>
    </xf>
    <xf numFmtId="0" fontId="2" fillId="3" borderId="14" xfId="0" applyFont="1" applyFill="1" applyBorder="1" applyAlignment="1">
      <alignment horizontal="center" vertical="center" wrapText="1"/>
    </xf>
    <xf numFmtId="0" fontId="2" fillId="0" borderId="0" xfId="0" applyFont="1" applyAlignment="1">
      <alignment vertical="center" wrapText="1"/>
    </xf>
    <xf numFmtId="0" fontId="32" fillId="0" borderId="0" xfId="0" applyFont="1" applyAlignment="1">
      <alignment vertical="center" wrapText="1"/>
    </xf>
    <xf numFmtId="0" fontId="40" fillId="0" borderId="0" xfId="0" applyFont="1" applyAlignment="1">
      <alignment vertical="center"/>
    </xf>
    <xf numFmtId="0" fontId="40" fillId="0" borderId="0" xfId="0" applyFont="1" applyAlignment="1">
      <alignment horizontal="left" vertical="center"/>
    </xf>
    <xf numFmtId="0" fontId="40" fillId="0" borderId="0" xfId="0" applyFont="1" applyAlignment="1">
      <alignment horizontal="center" vertical="center"/>
    </xf>
    <xf numFmtId="0" fontId="34" fillId="0" borderId="0" xfId="0" applyFont="1" applyAlignment="1">
      <alignment horizontal="center" vertical="center"/>
    </xf>
    <xf numFmtId="0" fontId="40" fillId="0" borderId="0" xfId="0" applyFont="1" applyAlignment="1">
      <alignment horizontal="center" vertical="center" wrapText="1"/>
    </xf>
    <xf numFmtId="0" fontId="34" fillId="0" borderId="0" xfId="0" applyFont="1" applyAlignment="1">
      <alignment horizontal="left" vertical="center" wrapText="1"/>
    </xf>
    <xf numFmtId="0" fontId="42" fillId="0" borderId="0" xfId="0" applyFont="1" applyAlignment="1">
      <alignment horizontal="left" vertical="center"/>
    </xf>
    <xf numFmtId="0" fontId="34" fillId="0" borderId="0" xfId="0" applyFont="1" applyAlignment="1">
      <alignment vertical="center"/>
    </xf>
    <xf numFmtId="0" fontId="33" fillId="31" borderId="23" xfId="0" applyFont="1" applyFill="1" applyBorder="1" applyAlignment="1">
      <alignment horizontal="center" vertical="center"/>
    </xf>
    <xf numFmtId="0" fontId="33" fillId="31" borderId="23" xfId="0" applyFont="1" applyFill="1" applyBorder="1" applyAlignment="1">
      <alignment vertical="center"/>
    </xf>
    <xf numFmtId="0" fontId="34" fillId="31" borderId="23" xfId="0" applyFont="1" applyFill="1" applyBorder="1" applyAlignment="1">
      <alignment horizontal="center" vertical="center"/>
    </xf>
    <xf numFmtId="0" fontId="34" fillId="31" borderId="28" xfId="0" applyFont="1" applyFill="1" applyBorder="1" applyAlignment="1">
      <alignment horizontal="center" vertical="center"/>
    </xf>
    <xf numFmtId="0" fontId="34" fillId="31" borderId="1" xfId="0" applyFont="1" applyFill="1" applyBorder="1" applyAlignment="1">
      <alignment vertical="center"/>
    </xf>
    <xf numFmtId="0" fontId="34" fillId="31" borderId="23" xfId="0" applyFont="1" applyFill="1" applyBorder="1" applyAlignment="1">
      <alignment horizontal="center" vertical="center" wrapText="1"/>
    </xf>
    <xf numFmtId="0" fontId="34" fillId="31" borderId="23" xfId="0" applyFont="1" applyFill="1" applyBorder="1" applyAlignment="1">
      <alignment vertical="center"/>
    </xf>
    <xf numFmtId="0" fontId="42" fillId="31" borderId="23" xfId="0" applyFont="1" applyFill="1" applyBorder="1" applyAlignment="1">
      <alignment horizontal="left" vertical="center"/>
    </xf>
    <xf numFmtId="0" fontId="40" fillId="31" borderId="23" xfId="0" applyFont="1" applyFill="1" applyBorder="1" applyAlignment="1">
      <alignment horizontal="left" vertical="center"/>
    </xf>
    <xf numFmtId="0" fontId="40" fillId="31" borderId="23" xfId="0" applyFont="1" applyFill="1" applyBorder="1" applyAlignment="1">
      <alignment horizontal="left" vertical="center" wrapText="1"/>
    </xf>
    <xf numFmtId="0" fontId="40" fillId="0" borderId="0" xfId="0" applyFont="1" applyAlignment="1">
      <alignment horizontal="left" vertical="center" wrapText="1"/>
    </xf>
    <xf numFmtId="0" fontId="40" fillId="0" borderId="0" xfId="0" applyFont="1" applyAlignment="1">
      <alignment vertical="center" wrapText="1"/>
    </xf>
    <xf numFmtId="0" fontId="32" fillId="0" borderId="0" xfId="0" applyFont="1" applyAlignment="1">
      <alignment horizontal="left" vertical="center"/>
    </xf>
    <xf numFmtId="164" fontId="34" fillId="31" borderId="28" xfId="0" applyNumberFormat="1" applyFont="1" applyFill="1" applyBorder="1" applyAlignment="1">
      <alignment horizontal="center" vertical="center"/>
    </xf>
    <xf numFmtId="164" fontId="34" fillId="29" borderId="44" xfId="0" applyNumberFormat="1" applyFont="1" applyFill="1" applyBorder="1" applyAlignment="1">
      <alignment vertical="center"/>
    </xf>
    <xf numFmtId="0" fontId="40" fillId="0" borderId="3" xfId="0" applyFont="1" applyBorder="1" applyAlignment="1">
      <alignment horizontal="center" vertical="center"/>
    </xf>
    <xf numFmtId="0" fontId="40" fillId="0" borderId="0" xfId="0" applyFont="1" applyAlignment="1">
      <alignment horizontal="right" vertical="center"/>
    </xf>
    <xf numFmtId="0" fontId="41" fillId="0" borderId="0" xfId="0" applyFont="1" applyAlignment="1">
      <alignment vertical="center"/>
    </xf>
    <xf numFmtId="0" fontId="40" fillId="0" borderId="14" xfId="0" applyFont="1" applyBorder="1" applyAlignment="1">
      <alignment horizontal="center" vertical="center"/>
    </xf>
    <xf numFmtId="0" fontId="40" fillId="0" borderId="1" xfId="0" applyFont="1" applyBorder="1" applyAlignment="1">
      <alignment horizontal="center" vertical="center"/>
    </xf>
    <xf numFmtId="0" fontId="40" fillId="0" borderId="24" xfId="0" applyFont="1" applyBorder="1" applyAlignment="1">
      <alignment horizontal="center" vertical="center"/>
    </xf>
    <xf numFmtId="0" fontId="40" fillId="31" borderId="23" xfId="0" applyFont="1" applyFill="1" applyBorder="1" applyAlignment="1">
      <alignment vertical="center" wrapText="1"/>
    </xf>
    <xf numFmtId="2" fontId="40" fillId="29" borderId="44" xfId="0" applyNumberFormat="1" applyFont="1" applyFill="1" applyBorder="1" applyAlignment="1">
      <alignment vertical="center"/>
    </xf>
    <xf numFmtId="0" fontId="40" fillId="29" borderId="44" xfId="0" applyFont="1" applyFill="1" applyBorder="1" applyAlignment="1">
      <alignment horizontal="center" vertical="center" wrapText="1"/>
    </xf>
    <xf numFmtId="0" fontId="40" fillId="31" borderId="23" xfId="0" applyFont="1" applyFill="1" applyBorder="1" applyAlignment="1">
      <alignment vertical="center"/>
    </xf>
    <xf numFmtId="2" fontId="40" fillId="29" borderId="44" xfId="0" applyNumberFormat="1" applyFont="1" applyFill="1" applyBorder="1" applyAlignment="1">
      <alignment horizontal="right" vertical="center"/>
    </xf>
    <xf numFmtId="0" fontId="40" fillId="0" borderId="23" xfId="0" applyFont="1" applyBorder="1" applyAlignment="1">
      <alignment horizontal="center" vertical="center"/>
    </xf>
    <xf numFmtId="9" fontId="40" fillId="0" borderId="1" xfId="1" applyFont="1" applyFill="1" applyBorder="1" applyAlignment="1">
      <alignment vertical="center"/>
    </xf>
    <xf numFmtId="0" fontId="41" fillId="0" borderId="0" xfId="0" applyFont="1" applyAlignment="1">
      <alignment horizontal="left" vertical="center" wrapText="1"/>
    </xf>
    <xf numFmtId="164" fontId="40" fillId="0" borderId="0" xfId="0" applyNumberFormat="1" applyFont="1" applyAlignment="1">
      <alignment vertical="center"/>
    </xf>
    <xf numFmtId="0" fontId="34" fillId="0" borderId="0" xfId="0" applyFont="1" applyAlignment="1">
      <alignment vertical="center" wrapText="1"/>
    </xf>
    <xf numFmtId="164" fontId="40" fillId="29" borderId="50" xfId="0" applyNumberFormat="1" applyFont="1" applyFill="1" applyBorder="1" applyAlignment="1">
      <alignment vertical="center"/>
    </xf>
    <xf numFmtId="164" fontId="40" fillId="29" borderId="44" xfId="0" applyNumberFormat="1" applyFont="1" applyFill="1" applyBorder="1" applyAlignment="1">
      <alignment vertical="center"/>
    </xf>
    <xf numFmtId="164" fontId="40" fillId="29" borderId="52" xfId="0" applyNumberFormat="1" applyFont="1" applyFill="1" applyBorder="1" applyAlignment="1">
      <alignment vertical="center"/>
    </xf>
    <xf numFmtId="0" fontId="40" fillId="29" borderId="50" xfId="0" applyFont="1" applyFill="1" applyBorder="1" applyAlignment="1">
      <alignment horizontal="center" vertical="center" wrapText="1"/>
    </xf>
    <xf numFmtId="164" fontId="40" fillId="29" borderId="51" xfId="0" applyNumberFormat="1" applyFont="1" applyFill="1" applyBorder="1" applyAlignment="1">
      <alignment vertical="center"/>
    </xf>
    <xf numFmtId="164" fontId="40" fillId="29" borderId="46" xfId="0" applyNumberFormat="1" applyFont="1" applyFill="1" applyBorder="1" applyAlignment="1">
      <alignment vertical="center"/>
    </xf>
    <xf numFmtId="164" fontId="40" fillId="29" borderId="49" xfId="0" applyNumberFormat="1" applyFont="1" applyFill="1" applyBorder="1" applyAlignment="1">
      <alignment vertical="center"/>
    </xf>
    <xf numFmtId="164" fontId="40" fillId="29" borderId="47" xfId="0" applyNumberFormat="1" applyFont="1" applyFill="1" applyBorder="1" applyAlignment="1">
      <alignment vertical="center"/>
    </xf>
    <xf numFmtId="9" fontId="40" fillId="0" borderId="0" xfId="1" applyFont="1" applyBorder="1" applyAlignment="1">
      <alignment vertical="center"/>
    </xf>
    <xf numFmtId="164" fontId="40" fillId="29" borderId="44" xfId="0" applyNumberFormat="1" applyFont="1" applyFill="1" applyBorder="1" applyAlignment="1">
      <alignment horizontal="right" vertical="center"/>
    </xf>
    <xf numFmtId="9" fontId="40" fillId="0" borderId="0" xfId="0" applyNumberFormat="1" applyFont="1" applyAlignment="1">
      <alignment vertical="center"/>
    </xf>
    <xf numFmtId="9" fontId="40" fillId="29" borderId="44" xfId="1" applyFont="1" applyFill="1" applyBorder="1" applyAlignment="1">
      <alignment vertical="center"/>
    </xf>
    <xf numFmtId="2" fontId="40" fillId="29" borderId="55" xfId="0" applyNumberFormat="1" applyFont="1" applyFill="1" applyBorder="1" applyAlignment="1">
      <alignment vertical="center"/>
    </xf>
    <xf numFmtId="2" fontId="40" fillId="29" borderId="45" xfId="0" applyNumberFormat="1" applyFont="1" applyFill="1" applyBorder="1" applyAlignment="1">
      <alignment vertical="center"/>
    </xf>
    <xf numFmtId="2" fontId="40" fillId="29" borderId="0" xfId="0" applyNumberFormat="1" applyFont="1" applyFill="1" applyAlignment="1">
      <alignment vertical="center"/>
    </xf>
    <xf numFmtId="0" fontId="34" fillId="31" borderId="28" xfId="0" applyFont="1" applyFill="1" applyBorder="1" applyAlignment="1">
      <alignment horizontal="center" vertical="center" wrapText="1"/>
    </xf>
    <xf numFmtId="2" fontId="40" fillId="29" borderId="55" xfId="0" applyNumberFormat="1" applyFont="1" applyFill="1" applyBorder="1" applyAlignment="1">
      <alignment horizontal="right" vertical="center"/>
    </xf>
    <xf numFmtId="2" fontId="40" fillId="29" borderId="45" xfId="0" applyNumberFormat="1" applyFont="1" applyFill="1" applyBorder="1" applyAlignment="1">
      <alignment horizontal="right" vertical="center"/>
    </xf>
    <xf numFmtId="9" fontId="40" fillId="0" borderId="1" xfId="0" applyNumberFormat="1" applyFont="1" applyBorder="1" applyAlignment="1">
      <alignment vertical="center"/>
    </xf>
    <xf numFmtId="164" fontId="34" fillId="29" borderId="49" xfId="0" applyNumberFormat="1" applyFont="1" applyFill="1" applyBorder="1" applyAlignment="1">
      <alignment vertical="center"/>
    </xf>
    <xf numFmtId="0" fontId="34" fillId="0" borderId="0" xfId="0" applyFont="1" applyAlignment="1">
      <alignment horizontal="center" vertical="center" wrapText="1"/>
    </xf>
    <xf numFmtId="0" fontId="40" fillId="0" borderId="35" xfId="0" applyFont="1" applyBorder="1" applyAlignment="1">
      <alignment horizontal="center" vertical="center"/>
    </xf>
    <xf numFmtId="9" fontId="40" fillId="0" borderId="33" xfId="0" applyNumberFormat="1" applyFont="1" applyBorder="1" applyAlignment="1">
      <alignment vertical="center"/>
    </xf>
    <xf numFmtId="9" fontId="40" fillId="0" borderId="38" xfId="0" applyNumberFormat="1" applyFont="1" applyBorder="1" applyAlignment="1">
      <alignment vertical="center"/>
    </xf>
    <xf numFmtId="0" fontId="40" fillId="0" borderId="39" xfId="0" applyFont="1" applyBorder="1" applyAlignment="1">
      <alignment horizontal="center" vertical="center"/>
    </xf>
    <xf numFmtId="9" fontId="40" fillId="0" borderId="32" xfId="0" applyNumberFormat="1" applyFont="1" applyBorder="1" applyAlignment="1">
      <alignment vertical="center"/>
    </xf>
    <xf numFmtId="0" fontId="40" fillId="0" borderId="37" xfId="0" applyFont="1" applyBorder="1" applyAlignment="1">
      <alignment horizontal="center" vertical="center"/>
    </xf>
    <xf numFmtId="9" fontId="40" fillId="0" borderId="36" xfId="0" applyNumberFormat="1" applyFont="1" applyBorder="1" applyAlignment="1">
      <alignment vertical="center"/>
    </xf>
    <xf numFmtId="164" fontId="40" fillId="29" borderId="48" xfId="0" applyNumberFormat="1" applyFont="1" applyFill="1" applyBorder="1" applyAlignment="1">
      <alignment vertical="center"/>
    </xf>
    <xf numFmtId="9" fontId="40" fillId="31" borderId="23" xfId="0" applyNumberFormat="1" applyFont="1" applyFill="1" applyBorder="1" applyAlignment="1">
      <alignment vertical="center"/>
    </xf>
    <xf numFmtId="0" fontId="40" fillId="0" borderId="42" xfId="0" applyFont="1" applyBorder="1" applyAlignment="1">
      <alignment horizontal="center" vertical="center"/>
    </xf>
    <xf numFmtId="0" fontId="40" fillId="0" borderId="38" xfId="0" applyFont="1" applyBorder="1" applyAlignment="1">
      <alignment horizontal="center" vertical="center"/>
    </xf>
    <xf numFmtId="0" fontId="40" fillId="0" borderId="35" xfId="0" applyFont="1" applyBorder="1" applyAlignment="1">
      <alignment vertical="center"/>
    </xf>
    <xf numFmtId="0" fontId="40" fillId="0" borderId="31" xfId="0" applyFont="1" applyBorder="1" applyAlignment="1">
      <alignment horizontal="center" vertical="center"/>
    </xf>
    <xf numFmtId="0" fontId="40" fillId="0" borderId="36" xfId="0" applyFont="1" applyBorder="1" applyAlignment="1">
      <alignment horizontal="center" vertical="center"/>
    </xf>
    <xf numFmtId="0" fontId="40" fillId="0" borderId="37" xfId="0" applyFont="1" applyBorder="1" applyAlignment="1">
      <alignment vertical="center"/>
    </xf>
    <xf numFmtId="0" fontId="40" fillId="0" borderId="41" xfId="0" applyFont="1" applyBorder="1" applyAlignment="1">
      <alignment horizontal="center" vertical="center"/>
    </xf>
    <xf numFmtId="0" fontId="40" fillId="0" borderId="33" xfId="0" applyFont="1" applyBorder="1" applyAlignment="1">
      <alignment horizontal="center" vertical="center"/>
    </xf>
    <xf numFmtId="9" fontId="40" fillId="31" borderId="1" xfId="1" applyFont="1" applyFill="1" applyBorder="1" applyAlignment="1">
      <alignment vertical="center"/>
    </xf>
    <xf numFmtId="164" fontId="40" fillId="29" borderId="46" xfId="0" applyNumberFormat="1" applyFont="1" applyFill="1" applyBorder="1" applyAlignment="1">
      <alignment horizontal="right" vertical="center"/>
    </xf>
    <xf numFmtId="9" fontId="34" fillId="31" borderId="1" xfId="0" applyNumberFormat="1" applyFont="1" applyFill="1" applyBorder="1" applyAlignment="1">
      <alignment vertical="center"/>
    </xf>
    <xf numFmtId="0" fontId="34" fillId="31" borderId="1" xfId="0" applyFont="1" applyFill="1" applyBorder="1" applyAlignment="1">
      <alignment horizontal="left" vertical="center"/>
    </xf>
    <xf numFmtId="164" fontId="34" fillId="29" borderId="45" xfId="0" applyNumberFormat="1" applyFont="1" applyFill="1" applyBorder="1" applyAlignment="1">
      <alignment vertical="center"/>
    </xf>
    <xf numFmtId="0" fontId="34" fillId="31" borderId="1" xfId="0" applyFont="1" applyFill="1" applyBorder="1" applyAlignment="1">
      <alignment vertical="center" wrapText="1"/>
    </xf>
    <xf numFmtId="0" fontId="34" fillId="31" borderId="1" xfId="0" applyFont="1" applyFill="1" applyBorder="1" applyAlignment="1">
      <alignment horizontal="right" vertical="center"/>
    </xf>
    <xf numFmtId="0" fontId="40" fillId="29" borderId="44" xfId="0" applyFont="1" applyFill="1" applyBorder="1" applyAlignment="1">
      <alignment horizontal="center" vertical="center"/>
    </xf>
    <xf numFmtId="2" fontId="40" fillId="0" borderId="0" xfId="0" applyNumberFormat="1" applyFont="1" applyAlignment="1">
      <alignment horizontal="center" vertical="center"/>
    </xf>
    <xf numFmtId="0" fontId="40" fillId="29" borderId="51" xfId="0" applyFont="1" applyFill="1" applyBorder="1" applyAlignment="1">
      <alignment horizontal="center" vertical="center"/>
    </xf>
    <xf numFmtId="0" fontId="34" fillId="0" borderId="0" xfId="0" applyFont="1" applyAlignment="1">
      <alignment horizontal="right" vertical="center"/>
    </xf>
    <xf numFmtId="2" fontId="34" fillId="31" borderId="28" xfId="0" applyNumberFormat="1" applyFont="1" applyFill="1" applyBorder="1" applyAlignment="1">
      <alignment horizontal="center" vertical="center"/>
    </xf>
    <xf numFmtId="2" fontId="40" fillId="29" borderId="44" xfId="0" applyNumberFormat="1" applyFont="1" applyFill="1" applyBorder="1" applyAlignment="1">
      <alignment horizontal="center" vertical="center"/>
    </xf>
    <xf numFmtId="2" fontId="40" fillId="29" borderId="51" xfId="0" applyNumberFormat="1" applyFont="1" applyFill="1" applyBorder="1" applyAlignment="1">
      <alignment horizontal="center" vertical="center"/>
    </xf>
    <xf numFmtId="2" fontId="34" fillId="29" borderId="44" xfId="0" applyNumberFormat="1" applyFont="1" applyFill="1" applyBorder="1" applyAlignment="1">
      <alignment horizontal="center" vertical="center"/>
    </xf>
    <xf numFmtId="0" fontId="34" fillId="29" borderId="44" xfId="0" applyFont="1" applyFill="1" applyBorder="1" applyAlignment="1">
      <alignment horizontal="center" vertical="center"/>
    </xf>
    <xf numFmtId="0" fontId="40" fillId="0" borderId="3" xfId="0" applyFont="1" applyBorder="1" applyAlignment="1">
      <alignment horizontal="center" vertical="center" wrapText="1"/>
    </xf>
    <xf numFmtId="0" fontId="40" fillId="0" borderId="23" xfId="0" applyFont="1" applyBorder="1" applyAlignment="1">
      <alignment horizontal="center" vertical="center" wrapText="1"/>
    </xf>
    <xf numFmtId="0" fontId="32" fillId="0" borderId="0" xfId="0" applyFont="1" applyAlignment="1">
      <alignment vertical="center"/>
    </xf>
    <xf numFmtId="0" fontId="40" fillId="0" borderId="23" xfId="0" applyFont="1" applyBorder="1" applyAlignment="1">
      <alignment vertical="center" wrapText="1"/>
    </xf>
    <xf numFmtId="0" fontId="41" fillId="31" borderId="23" xfId="0" applyFont="1" applyFill="1" applyBorder="1" applyAlignment="1">
      <alignment horizontal="right" vertical="center" wrapText="1"/>
    </xf>
    <xf numFmtId="0" fontId="45" fillId="0" borderId="0" xfId="0" applyFont="1" applyAlignment="1">
      <alignment vertical="center"/>
    </xf>
    <xf numFmtId="0" fontId="40" fillId="31" borderId="28" xfId="0" applyFont="1" applyFill="1" applyBorder="1" applyAlignment="1">
      <alignment horizontal="center" vertical="center" wrapText="1"/>
    </xf>
    <xf numFmtId="0" fontId="40" fillId="30" borderId="21" xfId="0" applyFont="1" applyFill="1" applyBorder="1" applyAlignment="1">
      <alignment horizontal="center" vertical="center" wrapText="1"/>
    </xf>
    <xf numFmtId="0" fontId="32" fillId="31" borderId="23" xfId="0" applyFont="1" applyFill="1" applyBorder="1" applyAlignment="1">
      <alignment horizontal="center" vertical="center"/>
    </xf>
    <xf numFmtId="0" fontId="46" fillId="0" borderId="0" xfId="0" applyFont="1" applyAlignment="1">
      <alignment horizontal="center" vertical="center"/>
    </xf>
    <xf numFmtId="0" fontId="40" fillId="29" borderId="49" xfId="0" applyFont="1" applyFill="1" applyBorder="1" applyAlignment="1">
      <alignment horizontal="center" vertical="center" wrapText="1"/>
    </xf>
    <xf numFmtId="0" fontId="40" fillId="31" borderId="28" xfId="0" applyFont="1" applyFill="1" applyBorder="1" applyAlignment="1">
      <alignment horizontal="center" vertical="center"/>
    </xf>
    <xf numFmtId="0" fontId="40" fillId="30" borderId="21" xfId="0" applyFont="1" applyFill="1" applyBorder="1" applyAlignment="1">
      <alignment horizontal="center" vertical="center"/>
    </xf>
    <xf numFmtId="0" fontId="40" fillId="31" borderId="23" xfId="0" applyFont="1" applyFill="1" applyBorder="1" applyAlignment="1">
      <alignment horizontal="center" vertical="center" wrapText="1"/>
    </xf>
    <xf numFmtId="0" fontId="34" fillId="31" borderId="23" xfId="0" applyFont="1" applyFill="1" applyBorder="1" applyAlignment="1">
      <alignment horizontal="left" vertical="center" wrapText="1"/>
    </xf>
    <xf numFmtId="0" fontId="34" fillId="31" borderId="1" xfId="0" applyFont="1" applyFill="1" applyBorder="1" applyAlignment="1">
      <alignment horizontal="left" vertical="center" wrapText="1"/>
    </xf>
    <xf numFmtId="0" fontId="40" fillId="31" borderId="1" xfId="0" applyFont="1" applyFill="1" applyBorder="1" applyAlignment="1">
      <alignment horizontal="left" vertical="center"/>
    </xf>
    <xf numFmtId="0" fontId="34" fillId="31" borderId="1" xfId="0" applyFont="1" applyFill="1" applyBorder="1" applyAlignment="1">
      <alignment horizontal="center" vertical="center"/>
    </xf>
    <xf numFmtId="0" fontId="32" fillId="31" borderId="23" xfId="0" applyFont="1" applyFill="1" applyBorder="1" applyAlignment="1">
      <alignment vertical="center"/>
    </xf>
    <xf numFmtId="0" fontId="32" fillId="0" borderId="23" xfId="0" applyFont="1" applyBorder="1" applyAlignment="1">
      <alignment vertical="center"/>
    </xf>
    <xf numFmtId="0" fontId="5" fillId="0" borderId="23" xfId="2" applyBorder="1" applyAlignment="1">
      <alignment vertical="center"/>
    </xf>
    <xf numFmtId="0" fontId="33" fillId="0" borderId="23" xfId="0" applyFont="1" applyBorder="1" applyAlignment="1">
      <alignment vertical="center"/>
    </xf>
    <xf numFmtId="0" fontId="44" fillId="0" borderId="23" xfId="2" applyFont="1" applyBorder="1" applyAlignment="1">
      <alignment vertical="center"/>
    </xf>
    <xf numFmtId="0" fontId="32" fillId="0" borderId="23" xfId="0" applyFont="1" applyBorder="1" applyAlignment="1">
      <alignment vertical="center" wrapText="1"/>
    </xf>
    <xf numFmtId="0" fontId="34" fillId="0" borderId="0" xfId="0" applyFont="1" applyAlignment="1">
      <alignment horizontal="left" vertical="center"/>
    </xf>
    <xf numFmtId="0" fontId="0" fillId="0" borderId="0" xfId="0" applyAlignment="1">
      <alignment vertical="center"/>
    </xf>
    <xf numFmtId="0" fontId="33" fillId="0" borderId="0" xfId="0" applyFont="1" applyAlignment="1">
      <alignment vertical="center"/>
    </xf>
    <xf numFmtId="0" fontId="33" fillId="0" borderId="0" xfId="0" applyFont="1" applyAlignment="1">
      <alignment horizontal="center" vertical="center"/>
    </xf>
    <xf numFmtId="0" fontId="40" fillId="31" borderId="1" xfId="0" applyFont="1" applyFill="1" applyBorder="1" applyAlignment="1">
      <alignment horizontal="center" vertical="center"/>
    </xf>
    <xf numFmtId="2" fontId="34" fillId="0" borderId="0" xfId="0" applyNumberFormat="1" applyFont="1" applyAlignment="1">
      <alignment horizontal="center" vertical="center"/>
    </xf>
    <xf numFmtId="0" fontId="35" fillId="0" borderId="0" xfId="0" applyFont="1" applyAlignment="1">
      <alignment horizontal="center" vertical="center"/>
    </xf>
    <xf numFmtId="164" fontId="34" fillId="29" borderId="49" xfId="0" applyNumberFormat="1" applyFont="1" applyFill="1" applyBorder="1" applyAlignment="1">
      <alignment horizontal="right" vertical="center"/>
    </xf>
    <xf numFmtId="0" fontId="40" fillId="31" borderId="1" xfId="0" applyFont="1" applyFill="1" applyBorder="1" applyAlignment="1">
      <alignment horizontal="center" vertical="center" wrapText="1"/>
    </xf>
    <xf numFmtId="0" fontId="40" fillId="31" borderId="3" xfId="0" applyFont="1" applyFill="1" applyBorder="1" applyAlignment="1">
      <alignment horizontal="center" vertical="center" wrapText="1"/>
    </xf>
    <xf numFmtId="9" fontId="40" fillId="31" borderId="23" xfId="1" applyFont="1" applyFill="1" applyBorder="1" applyAlignment="1">
      <alignment vertical="center"/>
    </xf>
    <xf numFmtId="0" fontId="35" fillId="31" borderId="0" xfId="0" applyFont="1" applyFill="1" applyAlignment="1">
      <alignment vertical="center"/>
    </xf>
    <xf numFmtId="0" fontId="40" fillId="31" borderId="1" xfId="0" applyFont="1" applyFill="1" applyBorder="1" applyAlignment="1">
      <alignment vertical="center" wrapText="1"/>
    </xf>
    <xf numFmtId="0" fontId="40" fillId="31" borderId="1" xfId="0" applyFont="1" applyFill="1" applyBorder="1" applyAlignment="1">
      <alignment vertical="center"/>
    </xf>
    <xf numFmtId="0" fontId="40" fillId="29" borderId="51" xfId="0" applyFont="1" applyFill="1" applyBorder="1" applyAlignment="1">
      <alignment horizontal="center" vertical="center" wrapText="1"/>
    </xf>
    <xf numFmtId="0" fontId="48" fillId="0" borderId="0" xfId="0" applyFont="1" applyAlignment="1">
      <alignment horizontal="left" vertical="center"/>
    </xf>
    <xf numFmtId="0" fontId="48" fillId="0" borderId="0" xfId="0" applyFont="1" applyAlignment="1">
      <alignment horizontal="left" vertical="center" wrapText="1"/>
    </xf>
    <xf numFmtId="2" fontId="34" fillId="31" borderId="28" xfId="0" applyNumberFormat="1" applyFont="1" applyFill="1" applyBorder="1" applyAlignment="1">
      <alignment horizontal="center" vertical="center" wrapText="1"/>
    </xf>
    <xf numFmtId="0" fontId="2" fillId="2" borderId="0" xfId="0" applyFont="1" applyFill="1" applyAlignment="1">
      <alignment horizontal="center" vertical="center"/>
    </xf>
    <xf numFmtId="0" fontId="2" fillId="0" borderId="0" xfId="0" applyFont="1" applyAlignment="1">
      <alignment horizontal="center" vertical="center"/>
    </xf>
    <xf numFmtId="0" fontId="2" fillId="3" borderId="2" xfId="0" applyFont="1" applyFill="1" applyBorder="1" applyAlignment="1">
      <alignment vertical="center"/>
    </xf>
    <xf numFmtId="0" fontId="2" fillId="0" borderId="16" xfId="0" applyFont="1" applyBorder="1" applyAlignment="1">
      <alignment vertical="center"/>
    </xf>
    <xf numFmtId="0" fontId="2" fillId="0" borderId="0" xfId="0" applyFont="1" applyAlignment="1">
      <alignment vertical="center"/>
    </xf>
    <xf numFmtId="0" fontId="0" fillId="27" borderId="0" xfId="0" applyFill="1" applyAlignment="1">
      <alignment vertical="center"/>
    </xf>
    <xf numFmtId="0" fontId="2" fillId="28" borderId="0" xfId="0" applyFont="1" applyFill="1" applyAlignment="1">
      <alignment vertical="center"/>
    </xf>
    <xf numFmtId="0" fontId="4" fillId="0" borderId="0" xfId="0" applyFont="1" applyAlignment="1">
      <alignment horizontal="center" vertical="center"/>
    </xf>
    <xf numFmtId="0" fontId="7" fillId="0" borderId="0" xfId="0" applyFont="1" applyAlignment="1">
      <alignment horizontal="center" vertical="center"/>
    </xf>
    <xf numFmtId="164" fontId="9" fillId="0" borderId="0" xfId="0" applyNumberFormat="1" applyFont="1" applyAlignment="1">
      <alignment vertical="center"/>
    </xf>
    <xf numFmtId="164" fontId="0" fillId="0" borderId="0" xfId="0" applyNumberFormat="1" applyAlignment="1">
      <alignment vertical="center"/>
    </xf>
    <xf numFmtId="164" fontId="0" fillId="0" borderId="0" xfId="0" applyNumberFormat="1" applyAlignment="1">
      <alignment horizontal="left" vertical="center"/>
    </xf>
    <xf numFmtId="0" fontId="2" fillId="0" borderId="0" xfId="0" applyFont="1" applyAlignment="1">
      <alignment horizontal="center" vertical="center" wrapText="1"/>
    </xf>
    <xf numFmtId="0" fontId="8" fillId="0" borderId="0" xfId="0" applyFont="1" applyAlignment="1">
      <alignment horizontal="center" vertical="center"/>
    </xf>
    <xf numFmtId="0" fontId="9" fillId="0" borderId="0" xfId="0" applyFont="1" applyAlignment="1">
      <alignment vertical="center"/>
    </xf>
    <xf numFmtId="0" fontId="9" fillId="0" borderId="0" xfId="0" applyFont="1" applyAlignment="1">
      <alignment horizontal="center" vertical="center"/>
    </xf>
    <xf numFmtId="164" fontId="9" fillId="0" borderId="0" xfId="0" applyNumberFormat="1" applyFont="1" applyAlignment="1">
      <alignment horizontal="center" vertical="center"/>
    </xf>
    <xf numFmtId="164" fontId="0" fillId="0" borderId="0" xfId="0" applyNumberFormat="1" applyAlignment="1">
      <alignment horizontal="right" vertical="center"/>
    </xf>
    <xf numFmtId="0" fontId="9" fillId="0" borderId="0" xfId="0" applyFont="1" applyAlignment="1">
      <alignment horizontal="left" vertical="center"/>
    </xf>
    <xf numFmtId="0" fontId="0" fillId="4" borderId="0" xfId="0" applyFill="1" applyAlignment="1">
      <alignment horizontal="center" vertical="center"/>
    </xf>
    <xf numFmtId="165" fontId="9" fillId="4" borderId="0" xfId="0" applyNumberFormat="1" applyFont="1" applyFill="1" applyAlignment="1">
      <alignment horizontal="center" vertical="center"/>
    </xf>
    <xf numFmtId="165" fontId="9" fillId="0" borderId="0" xfId="0" applyNumberFormat="1" applyFont="1" applyAlignment="1">
      <alignment horizontal="center" vertical="center"/>
    </xf>
    <xf numFmtId="165" fontId="9" fillId="0" borderId="3" xfId="0" applyNumberFormat="1" applyFont="1" applyBorder="1" applyAlignment="1">
      <alignment horizontal="center" vertical="center"/>
    </xf>
    <xf numFmtId="165" fontId="9" fillId="4" borderId="3" xfId="0" applyNumberFormat="1" applyFont="1" applyFill="1" applyBorder="1" applyAlignment="1">
      <alignment horizontal="center" vertical="center"/>
    </xf>
    <xf numFmtId="0" fontId="2" fillId="3" borderId="13" xfId="0" applyFont="1" applyFill="1" applyBorder="1" applyAlignment="1">
      <alignment horizontal="center" vertical="center" wrapText="1"/>
    </xf>
    <xf numFmtId="0" fontId="2" fillId="3" borderId="15" xfId="0" applyFont="1" applyFill="1" applyBorder="1" applyAlignment="1">
      <alignment horizontal="center" vertical="center"/>
    </xf>
    <xf numFmtId="1" fontId="0" fillId="0" borderId="0" xfId="0" applyNumberFormat="1" applyAlignment="1">
      <alignment horizontal="center" vertical="center"/>
    </xf>
    <xf numFmtId="0" fontId="0" fillId="0" borderId="0" xfId="0" applyAlignment="1">
      <alignment horizontal="left" vertical="center"/>
    </xf>
    <xf numFmtId="164" fontId="0" fillId="0" borderId="0" xfId="0" applyNumberFormat="1" applyAlignment="1">
      <alignment horizontal="center" vertical="center"/>
    </xf>
    <xf numFmtId="0" fontId="0" fillId="4" borderId="0" xfId="0" applyFill="1" applyAlignment="1">
      <alignment vertical="center"/>
    </xf>
    <xf numFmtId="0" fontId="4" fillId="4" borderId="0" xfId="0" applyFont="1" applyFill="1" applyAlignment="1">
      <alignment horizontal="center" vertical="center"/>
    </xf>
    <xf numFmtId="169" fontId="0" fillId="0" borderId="0" xfId="0" applyNumberFormat="1" applyAlignment="1">
      <alignment horizontal="center" vertical="center"/>
    </xf>
    <xf numFmtId="0" fontId="48" fillId="0" borderId="0" xfId="0" applyFont="1" applyAlignment="1">
      <alignment vertical="center"/>
    </xf>
    <xf numFmtId="0" fontId="53" fillId="0" borderId="0" xfId="0" applyFont="1" applyAlignment="1">
      <alignment vertical="center"/>
    </xf>
    <xf numFmtId="0" fontId="40" fillId="0" borderId="0" xfId="0" quotePrefix="1" applyFont="1" applyAlignment="1">
      <alignment vertical="center"/>
    </xf>
    <xf numFmtId="0" fontId="34" fillId="31" borderId="24" xfId="0" applyFont="1" applyFill="1" applyBorder="1" applyAlignment="1">
      <alignment horizontal="center" vertical="center"/>
    </xf>
    <xf numFmtId="0" fontId="34" fillId="31" borderId="14" xfId="0" applyFont="1" applyFill="1" applyBorder="1" applyAlignment="1">
      <alignment horizontal="center" vertical="center"/>
    </xf>
    <xf numFmtId="0" fontId="34" fillId="31" borderId="30" xfId="0" applyFont="1" applyFill="1" applyBorder="1" applyAlignment="1">
      <alignment horizontal="center" vertical="center"/>
    </xf>
    <xf numFmtId="0" fontId="56" fillId="0" borderId="0" xfId="0" applyFont="1" applyAlignment="1">
      <alignment horizontal="center" vertical="center"/>
    </xf>
    <xf numFmtId="2" fontId="40" fillId="0" borderId="0" xfId="0" applyNumberFormat="1" applyFont="1" applyAlignment="1">
      <alignment vertical="center"/>
    </xf>
    <xf numFmtId="164" fontId="40" fillId="0" borderId="0" xfId="0" applyNumberFormat="1" applyFont="1" applyAlignment="1">
      <alignment horizontal="right" vertical="center"/>
    </xf>
    <xf numFmtId="164" fontId="40" fillId="29" borderId="44" xfId="0" applyNumberFormat="1" applyFont="1" applyFill="1" applyBorder="1" applyAlignment="1">
      <alignment horizontal="center" vertical="center"/>
    </xf>
    <xf numFmtId="164" fontId="40" fillId="0" borderId="0" xfId="0" applyNumberFormat="1" applyFont="1" applyAlignment="1">
      <alignment horizontal="center" vertical="center"/>
    </xf>
    <xf numFmtId="164" fontId="34" fillId="29" borderId="44" xfId="0" applyNumberFormat="1" applyFont="1" applyFill="1" applyBorder="1" applyAlignment="1">
      <alignment horizontal="center" vertical="center"/>
    </xf>
    <xf numFmtId="164" fontId="34" fillId="29" borderId="49" xfId="0" applyNumberFormat="1" applyFont="1" applyFill="1" applyBorder="1" applyAlignment="1">
      <alignment horizontal="center" vertical="center"/>
    </xf>
    <xf numFmtId="164" fontId="40" fillId="29" borderId="49" xfId="0" applyNumberFormat="1" applyFont="1" applyFill="1" applyBorder="1" applyAlignment="1">
      <alignment horizontal="center" vertical="center"/>
    </xf>
    <xf numFmtId="164" fontId="34" fillId="31" borderId="25" xfId="0" applyNumberFormat="1" applyFont="1" applyFill="1" applyBorder="1" applyAlignment="1">
      <alignment horizontal="center" vertical="center"/>
    </xf>
    <xf numFmtId="164" fontId="40" fillId="29" borderId="56" xfId="0" applyNumberFormat="1" applyFont="1" applyFill="1" applyBorder="1" applyAlignment="1">
      <alignment horizontal="center" vertical="center"/>
    </xf>
    <xf numFmtId="164" fontId="40" fillId="29" borderId="62" xfId="0" applyNumberFormat="1" applyFont="1" applyFill="1" applyBorder="1" applyAlignment="1">
      <alignment horizontal="center" vertical="center"/>
    </xf>
    <xf numFmtId="164" fontId="34" fillId="29" borderId="45" xfId="0" applyNumberFormat="1" applyFont="1" applyFill="1" applyBorder="1" applyAlignment="1">
      <alignment horizontal="center" vertical="center"/>
    </xf>
    <xf numFmtId="2" fontId="40" fillId="0" borderId="0" xfId="0" applyNumberFormat="1" applyFont="1" applyAlignment="1">
      <alignment horizontal="center" vertical="center" wrapText="1"/>
    </xf>
    <xf numFmtId="2" fontId="34" fillId="31" borderId="25" xfId="0" applyNumberFormat="1" applyFont="1" applyFill="1" applyBorder="1" applyAlignment="1">
      <alignment horizontal="center" vertical="center"/>
    </xf>
    <xf numFmtId="2" fontId="40" fillId="29" borderId="56" xfId="0" applyNumberFormat="1" applyFont="1" applyFill="1" applyBorder="1" applyAlignment="1">
      <alignment horizontal="center" vertical="center"/>
    </xf>
    <xf numFmtId="0" fontId="40" fillId="32" borderId="63" xfId="0" applyFont="1" applyFill="1" applyBorder="1" applyAlignment="1">
      <alignment horizontal="center" vertical="center" wrapText="1"/>
    </xf>
    <xf numFmtId="0" fontId="40" fillId="33" borderId="63" xfId="0" applyFont="1" applyFill="1" applyBorder="1" applyAlignment="1">
      <alignment horizontal="center" vertical="center"/>
    </xf>
    <xf numFmtId="0" fontId="48" fillId="33" borderId="63" xfId="0" applyFont="1" applyFill="1" applyBorder="1" applyAlignment="1">
      <alignment horizontal="center" vertical="center"/>
    </xf>
    <xf numFmtId="0" fontId="55" fillId="31" borderId="63" xfId="0" applyFont="1" applyFill="1" applyBorder="1" applyAlignment="1">
      <alignment horizontal="center" vertical="center"/>
    </xf>
    <xf numFmtId="0" fontId="34" fillId="31" borderId="14" xfId="0" applyFont="1" applyFill="1" applyBorder="1" applyAlignment="1">
      <alignment horizontal="center" vertical="center" wrapText="1"/>
    </xf>
    <xf numFmtId="0" fontId="34" fillId="31" borderId="13" xfId="0" applyFont="1" applyFill="1" applyBorder="1" applyAlignment="1">
      <alignment horizontal="center" vertical="center" wrapText="1"/>
    </xf>
    <xf numFmtId="0" fontId="34" fillId="31" borderId="38" xfId="0" applyFont="1" applyFill="1" applyBorder="1" applyAlignment="1">
      <alignment horizontal="center" vertical="center" wrapText="1"/>
    </xf>
    <xf numFmtId="0" fontId="40" fillId="31" borderId="25" xfId="0" applyFont="1" applyFill="1" applyBorder="1" applyAlignment="1">
      <alignment horizontal="center" vertical="center" wrapText="1"/>
    </xf>
    <xf numFmtId="0" fontId="40" fillId="32" borderId="65" xfId="0" applyFont="1" applyFill="1" applyBorder="1" applyAlignment="1">
      <alignment horizontal="center" vertical="center" wrapText="1"/>
    </xf>
    <xf numFmtId="2" fontId="34" fillId="0" borderId="0" xfId="0" applyNumberFormat="1" applyFont="1" applyAlignment="1">
      <alignment horizontal="left" vertical="center"/>
    </xf>
    <xf numFmtId="164" fontId="34" fillId="0" borderId="0" xfId="0" applyNumberFormat="1" applyFont="1" applyAlignment="1">
      <alignment horizontal="center" vertical="center"/>
    </xf>
    <xf numFmtId="1" fontId="40" fillId="29" borderId="56" xfId="0" applyNumberFormat="1" applyFont="1" applyFill="1" applyBorder="1" applyAlignment="1">
      <alignment horizontal="center" vertical="center"/>
    </xf>
    <xf numFmtId="1" fontId="40" fillId="29" borderId="62" xfId="0" applyNumberFormat="1" applyFont="1" applyFill="1" applyBorder="1" applyAlignment="1">
      <alignment horizontal="center" vertical="center"/>
    </xf>
    <xf numFmtId="0" fontId="40" fillId="29" borderId="49" xfId="0" applyFont="1" applyFill="1" applyBorder="1" applyAlignment="1">
      <alignment horizontal="center" vertical="center"/>
    </xf>
    <xf numFmtId="0" fontId="40" fillId="29" borderId="53" xfId="0" applyFont="1" applyFill="1" applyBorder="1" applyAlignment="1">
      <alignment horizontal="center" vertical="center"/>
    </xf>
    <xf numFmtId="0" fontId="40" fillId="29" borderId="50" xfId="0" applyFont="1" applyFill="1" applyBorder="1" applyAlignment="1">
      <alignment horizontal="center" vertical="center"/>
    </xf>
    <xf numFmtId="0" fontId="40" fillId="29" borderId="54" xfId="0" applyFont="1" applyFill="1" applyBorder="1" applyAlignment="1">
      <alignment horizontal="center" vertical="center"/>
    </xf>
    <xf numFmtId="164" fontId="0" fillId="0" borderId="0" xfId="0" applyNumberFormat="1" applyAlignment="1">
      <alignment horizontal="center" vertical="center" wrapText="1"/>
    </xf>
    <xf numFmtId="164" fontId="6" fillId="4" borderId="0" xfId="0" applyNumberFormat="1" applyFont="1" applyFill="1" applyAlignment="1">
      <alignment horizontal="center" vertical="center" wrapText="1"/>
    </xf>
    <xf numFmtId="0" fontId="40" fillId="0" borderId="15" xfId="0" applyFont="1" applyBorder="1" applyAlignment="1" applyProtection="1">
      <alignment horizontal="center" vertical="center"/>
      <protection locked="0"/>
    </xf>
    <xf numFmtId="2" fontId="52" fillId="30" borderId="21" xfId="0" applyNumberFormat="1" applyFont="1" applyFill="1" applyBorder="1" applyAlignment="1" applyProtection="1">
      <alignment vertical="center"/>
      <protection locked="0"/>
    </xf>
    <xf numFmtId="0" fontId="34" fillId="31" borderId="26" xfId="0" applyFont="1" applyFill="1" applyBorder="1" applyAlignment="1">
      <alignment horizontal="center" vertical="center"/>
    </xf>
    <xf numFmtId="0" fontId="36" fillId="30" borderId="21" xfId="0" applyFont="1" applyFill="1" applyBorder="1" applyAlignment="1" applyProtection="1">
      <alignment vertical="center"/>
      <protection locked="0"/>
    </xf>
    <xf numFmtId="0" fontId="36" fillId="30" borderId="20" xfId="0" applyFont="1" applyFill="1" applyBorder="1" applyAlignment="1" applyProtection="1">
      <alignment vertical="center"/>
      <protection locked="0"/>
    </xf>
    <xf numFmtId="0" fontId="32" fillId="0" borderId="15" xfId="0" applyFont="1" applyBorder="1" applyAlignment="1" applyProtection="1">
      <alignment vertical="center"/>
      <protection locked="0"/>
    </xf>
    <xf numFmtId="0" fontId="36" fillId="30" borderId="19" xfId="0" applyFont="1" applyFill="1" applyBorder="1" applyAlignment="1" applyProtection="1">
      <alignment horizontal="center" vertical="center"/>
      <protection locked="0"/>
    </xf>
    <xf numFmtId="0" fontId="32" fillId="30" borderId="17" xfId="0" applyFont="1" applyFill="1" applyBorder="1" applyAlignment="1" applyProtection="1">
      <alignment horizontal="center" vertical="center"/>
      <protection locked="0"/>
    </xf>
    <xf numFmtId="0" fontId="33" fillId="30" borderId="17" xfId="0" applyFont="1" applyFill="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30" borderId="17" xfId="0" applyFont="1" applyFill="1" applyBorder="1" applyAlignment="1" applyProtection="1">
      <alignment horizontal="center" vertical="center"/>
      <protection locked="0"/>
    </xf>
    <xf numFmtId="0" fontId="40" fillId="0" borderId="29" xfId="0" applyFont="1" applyBorder="1" applyAlignment="1" applyProtection="1">
      <alignment horizontal="center" vertical="center"/>
      <protection locked="0"/>
    </xf>
    <xf numFmtId="0" fontId="40" fillId="0" borderId="26" xfId="0" applyFont="1" applyBorder="1" applyAlignment="1" applyProtection="1">
      <alignment horizontal="center" vertical="center"/>
      <protection locked="0"/>
    </xf>
    <xf numFmtId="2" fontId="40" fillId="30" borderId="17" xfId="0" applyNumberFormat="1" applyFont="1" applyFill="1" applyBorder="1" applyAlignment="1" applyProtection="1">
      <alignment vertical="center"/>
      <protection locked="0"/>
    </xf>
    <xf numFmtId="0" fontId="40" fillId="0" borderId="0" xfId="0" applyFont="1" applyAlignment="1" applyProtection="1">
      <alignment horizontal="center" vertical="center"/>
      <protection locked="0"/>
    </xf>
    <xf numFmtId="0" fontId="40" fillId="0" borderId="28" xfId="0" applyFont="1" applyBorder="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2" xfId="0" applyFont="1" applyBorder="1" applyAlignment="1" applyProtection="1">
      <alignment horizontal="center" vertical="center"/>
      <protection locked="0"/>
    </xf>
    <xf numFmtId="0" fontId="40" fillId="0" borderId="23" xfId="0" applyFont="1" applyBorder="1" applyAlignment="1" applyProtection="1">
      <alignment horizontal="center" vertical="center"/>
      <protection locked="0"/>
    </xf>
    <xf numFmtId="0" fontId="40" fillId="0" borderId="14" xfId="0" applyFont="1" applyBorder="1" applyAlignment="1" applyProtection="1">
      <alignment horizontal="center" vertical="center"/>
      <protection locked="0"/>
    </xf>
    <xf numFmtId="0" fontId="40" fillId="0" borderId="13" xfId="0" applyFont="1" applyBorder="1" applyAlignment="1" applyProtection="1">
      <alignment horizontal="center" vertical="center"/>
      <protection locked="0"/>
    </xf>
    <xf numFmtId="0" fontId="40" fillId="0" borderId="30" xfId="0" applyFont="1" applyBorder="1" applyAlignment="1" applyProtection="1">
      <alignment horizontal="center" vertical="center"/>
      <protection locked="0"/>
    </xf>
    <xf numFmtId="2" fontId="40" fillId="30" borderId="22" xfId="0" applyNumberFormat="1" applyFont="1" applyFill="1" applyBorder="1" applyAlignment="1" applyProtection="1">
      <alignment vertical="center"/>
      <protection locked="0"/>
    </xf>
    <xf numFmtId="2" fontId="40" fillId="30" borderId="57" xfId="0" applyNumberFormat="1" applyFont="1" applyFill="1" applyBorder="1" applyAlignment="1" applyProtection="1">
      <alignment vertical="center"/>
      <protection locked="0"/>
    </xf>
    <xf numFmtId="2" fontId="40" fillId="30" borderId="1" xfId="0" applyNumberFormat="1" applyFont="1" applyFill="1" applyBorder="1" applyAlignment="1" applyProtection="1">
      <alignment vertical="center"/>
      <protection locked="0"/>
    </xf>
    <xf numFmtId="9" fontId="40" fillId="30" borderId="17" xfId="1" applyFont="1" applyFill="1" applyBorder="1" applyAlignment="1" applyProtection="1">
      <alignment vertical="center"/>
      <protection locked="0"/>
    </xf>
    <xf numFmtId="9" fontId="40" fillId="30" borderId="18" xfId="1" applyFont="1" applyFill="1" applyBorder="1" applyAlignment="1" applyProtection="1">
      <alignment vertical="center"/>
      <protection locked="0"/>
    </xf>
    <xf numFmtId="2" fontId="34" fillId="0" borderId="0" xfId="0" applyNumberFormat="1" applyFont="1" applyAlignment="1">
      <alignment horizontal="center" vertical="center" wrapText="1"/>
    </xf>
    <xf numFmtId="2" fontId="34" fillId="31" borderId="23" xfId="0" applyNumberFormat="1" applyFont="1" applyFill="1" applyBorder="1" applyAlignment="1">
      <alignment vertical="center"/>
    </xf>
    <xf numFmtId="2" fontId="40"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34" fillId="31" borderId="1" xfId="0" applyFont="1" applyFill="1" applyBorder="1" applyAlignment="1">
      <alignment horizontal="center" vertical="center" wrapText="1"/>
    </xf>
    <xf numFmtId="0" fontId="40" fillId="0" borderId="25" xfId="0" applyFont="1" applyBorder="1" applyAlignment="1">
      <alignment horizontal="left" vertical="center" wrapText="1"/>
    </xf>
    <xf numFmtId="0" fontId="40" fillId="0" borderId="27" xfId="0" applyFont="1" applyBorder="1" applyAlignment="1" applyProtection="1">
      <alignment horizontal="center" vertical="center"/>
      <protection locked="0"/>
    </xf>
    <xf numFmtId="0" fontId="40" fillId="0" borderId="25" xfId="0" applyFont="1" applyBorder="1" applyAlignment="1" applyProtection="1">
      <alignment horizontal="center" vertical="center"/>
      <protection locked="0"/>
    </xf>
    <xf numFmtId="2" fontId="40" fillId="0" borderId="26" xfId="0" applyNumberFormat="1" applyFont="1" applyBorder="1" applyAlignment="1" applyProtection="1">
      <alignment horizontal="center" vertical="center"/>
      <protection locked="0"/>
    </xf>
    <xf numFmtId="2" fontId="40" fillId="0" borderId="2" xfId="0" applyNumberFormat="1" applyFont="1" applyBorder="1" applyAlignment="1" applyProtection="1">
      <alignment horizontal="center" vertical="center"/>
      <protection locked="0"/>
    </xf>
    <xf numFmtId="2" fontId="40" fillId="0" borderId="13" xfId="0" applyNumberFormat="1" applyFont="1" applyBorder="1" applyAlignment="1" applyProtection="1">
      <alignment horizontal="center" vertical="center"/>
      <protection locked="0"/>
    </xf>
    <xf numFmtId="0" fontId="40" fillId="0" borderId="24" xfId="0" applyFont="1" applyBorder="1" applyAlignment="1" applyProtection="1">
      <alignment horizontal="center" vertical="center"/>
      <protection locked="0"/>
    </xf>
    <xf numFmtId="0" fontId="40" fillId="0" borderId="25" xfId="0" applyFont="1" applyBorder="1" applyAlignment="1">
      <alignment vertical="center" wrapText="1"/>
    </xf>
    <xf numFmtId="0" fontId="34" fillId="31" borderId="23" xfId="0" applyFont="1" applyFill="1" applyBorder="1" applyAlignment="1">
      <alignment horizontal="left" vertical="center"/>
    </xf>
    <xf numFmtId="0" fontId="34" fillId="31" borderId="25" xfId="0" applyFont="1" applyFill="1" applyBorder="1" applyAlignment="1">
      <alignment horizontal="center" vertical="center"/>
    </xf>
    <xf numFmtId="0" fontId="51" fillId="31" borderId="23" xfId="0" applyFont="1" applyFill="1" applyBorder="1" applyAlignment="1">
      <alignment horizontal="left" vertical="center" wrapText="1"/>
    </xf>
    <xf numFmtId="0" fontId="43" fillId="31" borderId="23" xfId="0" applyFont="1" applyFill="1" applyBorder="1" applyAlignment="1">
      <alignment vertical="center" wrapText="1"/>
    </xf>
    <xf numFmtId="0" fontId="48" fillId="0" borderId="0" xfId="0" applyFont="1" applyAlignment="1">
      <alignment vertical="center" wrapText="1"/>
    </xf>
    <xf numFmtId="164" fontId="48" fillId="0" borderId="0" xfId="0" applyNumberFormat="1" applyFont="1" applyAlignment="1">
      <alignment vertical="center"/>
    </xf>
    <xf numFmtId="0" fontId="48" fillId="0" borderId="0" xfId="0" applyFont="1" applyAlignment="1">
      <alignment horizontal="center" vertical="center"/>
    </xf>
    <xf numFmtId="0" fontId="35" fillId="31" borderId="1" xfId="0" applyFont="1" applyFill="1" applyBorder="1" applyAlignment="1">
      <alignment vertical="center" wrapText="1"/>
    </xf>
    <xf numFmtId="0" fontId="48" fillId="29" borderId="53" xfId="0" applyFont="1" applyFill="1" applyBorder="1" applyAlignment="1">
      <alignment horizontal="center" vertical="center"/>
    </xf>
    <xf numFmtId="0" fontId="48" fillId="31" borderId="28" xfId="0" applyFont="1" applyFill="1" applyBorder="1" applyAlignment="1">
      <alignment horizontal="center" vertical="center" wrapText="1"/>
    </xf>
    <xf numFmtId="0" fontId="48" fillId="30" borderId="21" xfId="0" applyFont="1" applyFill="1" applyBorder="1" applyAlignment="1">
      <alignment horizontal="center" vertical="center" wrapText="1"/>
    </xf>
    <xf numFmtId="0" fontId="48" fillId="29" borderId="44" xfId="0" applyFont="1" applyFill="1" applyBorder="1" applyAlignment="1">
      <alignment horizontal="center" vertical="center" wrapText="1"/>
    </xf>
    <xf numFmtId="0" fontId="48" fillId="0" borderId="3" xfId="0" applyFont="1" applyBorder="1" applyAlignment="1">
      <alignment horizontal="center" vertical="center" wrapText="1"/>
    </xf>
    <xf numFmtId="0" fontId="48" fillId="29" borderId="50" xfId="0" applyFont="1" applyFill="1" applyBorder="1" applyAlignment="1">
      <alignment horizontal="center" vertical="center"/>
    </xf>
    <xf numFmtId="0" fontId="48" fillId="29" borderId="54" xfId="0" applyFont="1" applyFill="1" applyBorder="1" applyAlignment="1">
      <alignment horizontal="center" vertical="center"/>
    </xf>
    <xf numFmtId="0" fontId="35" fillId="0" borderId="0" xfId="0" applyFont="1" applyAlignment="1">
      <alignment vertical="center" wrapText="1"/>
    </xf>
    <xf numFmtId="0" fontId="48" fillId="0" borderId="0" xfId="0" applyFont="1" applyAlignment="1">
      <alignment horizontal="right" vertical="center"/>
    </xf>
    <xf numFmtId="164" fontId="35" fillId="29" borderId="49" xfId="0" applyNumberFormat="1" applyFont="1" applyFill="1" applyBorder="1" applyAlignment="1">
      <alignment vertical="center"/>
    </xf>
    <xf numFmtId="0" fontId="35" fillId="0" borderId="0" xfId="0" applyFont="1" applyAlignment="1">
      <alignment vertical="center"/>
    </xf>
    <xf numFmtId="0" fontId="48" fillId="0" borderId="0" xfId="0" applyFont="1" applyAlignment="1">
      <alignment horizontal="center" vertical="center" wrapText="1"/>
    </xf>
    <xf numFmtId="9" fontId="48" fillId="0" borderId="0" xfId="1" applyFont="1" applyFill="1" applyBorder="1" applyAlignment="1">
      <alignment vertical="center"/>
    </xf>
    <xf numFmtId="9" fontId="48" fillId="0" borderId="0" xfId="1" applyFont="1" applyBorder="1" applyAlignment="1">
      <alignment vertical="center"/>
    </xf>
    <xf numFmtId="0" fontId="57" fillId="0" borderId="0" xfId="0" applyFont="1" applyAlignment="1">
      <alignment vertical="center" wrapText="1"/>
    </xf>
    <xf numFmtId="9" fontId="48" fillId="0" borderId="0" xfId="0" applyNumberFormat="1" applyFont="1" applyAlignment="1">
      <alignment vertical="center"/>
    </xf>
    <xf numFmtId="9" fontId="35" fillId="31" borderId="1" xfId="0" applyNumberFormat="1" applyFont="1" applyFill="1" applyBorder="1" applyAlignment="1">
      <alignment vertical="center"/>
    </xf>
    <xf numFmtId="164" fontId="35" fillId="29" borderId="49" xfId="0" applyNumberFormat="1" applyFont="1" applyFill="1" applyBorder="1" applyAlignment="1">
      <alignment horizontal="right" vertical="center"/>
    </xf>
    <xf numFmtId="164" fontId="35" fillId="29" borderId="44" xfId="0" applyNumberFormat="1" applyFont="1" applyFill="1" applyBorder="1" applyAlignment="1">
      <alignment vertical="center"/>
    </xf>
    <xf numFmtId="2" fontId="40" fillId="30" borderId="57" xfId="0" applyNumberFormat="1" applyFont="1" applyFill="1" applyBorder="1" applyAlignment="1" applyProtection="1">
      <alignment horizontal="center" vertical="center" wrapText="1"/>
      <protection locked="0"/>
    </xf>
    <xf numFmtId="2" fontId="40" fillId="30" borderId="22" xfId="0" applyNumberFormat="1" applyFont="1" applyFill="1" applyBorder="1" applyAlignment="1" applyProtection="1">
      <alignment horizontal="center" vertical="center" wrapText="1"/>
      <protection locked="0"/>
    </xf>
    <xf numFmtId="2" fontId="40" fillId="30" borderId="59" xfId="0" applyNumberFormat="1" applyFont="1" applyFill="1" applyBorder="1" applyAlignment="1" applyProtection="1">
      <alignment horizontal="center" vertical="center" wrapText="1"/>
      <protection locked="0"/>
    </xf>
    <xf numFmtId="2" fontId="40" fillId="30" borderId="22" xfId="0" applyNumberFormat="1" applyFont="1" applyFill="1" applyBorder="1" applyAlignment="1" applyProtection="1">
      <alignment horizontal="center" vertical="center"/>
      <protection locked="0"/>
    </xf>
    <xf numFmtId="164" fontId="40" fillId="29" borderId="51" xfId="0" applyNumberFormat="1" applyFont="1" applyFill="1" applyBorder="1" applyAlignment="1">
      <alignment horizontal="center" vertical="center"/>
    </xf>
    <xf numFmtId="2" fontId="32" fillId="0" borderId="0" xfId="0" applyNumberFormat="1" applyFont="1" applyAlignment="1">
      <alignment vertical="center"/>
    </xf>
    <xf numFmtId="164" fontId="40" fillId="29" borderId="45" xfId="0" applyNumberFormat="1" applyFont="1" applyFill="1" applyBorder="1" applyAlignment="1">
      <alignment horizontal="right" vertical="center"/>
    </xf>
    <xf numFmtId="164" fontId="40" fillId="29" borderId="56" xfId="0" applyNumberFormat="1" applyFont="1" applyFill="1" applyBorder="1" applyAlignment="1">
      <alignment horizontal="right" vertical="center"/>
    </xf>
    <xf numFmtId="9" fontId="40" fillId="29" borderId="44" xfId="0" applyNumberFormat="1" applyFont="1" applyFill="1" applyBorder="1" applyAlignment="1">
      <alignment horizontal="center" vertical="center"/>
    </xf>
    <xf numFmtId="0" fontId="40" fillId="29" borderId="52" xfId="0" applyFont="1" applyFill="1" applyBorder="1" applyAlignment="1">
      <alignment horizontal="center" vertical="center" wrapText="1"/>
    </xf>
    <xf numFmtId="164" fontId="40" fillId="31" borderId="1" xfId="0" applyNumberFormat="1" applyFont="1" applyFill="1" applyBorder="1" applyAlignment="1">
      <alignment horizontal="left" vertical="center"/>
    </xf>
    <xf numFmtId="2" fontId="40" fillId="31" borderId="23" xfId="0" applyNumberFormat="1" applyFont="1" applyFill="1" applyBorder="1" applyAlignment="1">
      <alignment vertical="center"/>
    </xf>
    <xf numFmtId="0" fontId="41" fillId="0" borderId="43" xfId="0" applyFont="1" applyBorder="1" applyAlignment="1">
      <alignment horizontal="right" vertical="center" wrapText="1"/>
    </xf>
    <xf numFmtId="0" fontId="40" fillId="0" borderId="43" xfId="0" applyFont="1" applyBorder="1" applyAlignment="1">
      <alignment vertical="center" wrapText="1"/>
    </xf>
    <xf numFmtId="0" fontId="32" fillId="0" borderId="0" xfId="0" applyFont="1" applyAlignment="1">
      <alignment horizontal="center" vertical="center"/>
    </xf>
    <xf numFmtId="0" fontId="61" fillId="31" borderId="23" xfId="2" applyFont="1" applyFill="1" applyBorder="1" applyAlignment="1">
      <alignment horizontal="center" vertical="center" wrapText="1"/>
    </xf>
    <xf numFmtId="164" fontId="40" fillId="29" borderId="64" xfId="0" applyNumberFormat="1" applyFont="1" applyFill="1" applyBorder="1" applyAlignment="1">
      <alignment horizontal="center" vertical="center"/>
    </xf>
    <xf numFmtId="0" fontId="32" fillId="0" borderId="2" xfId="0" applyFont="1" applyBorder="1" applyAlignment="1">
      <alignment horizontal="center" vertical="center"/>
    </xf>
    <xf numFmtId="0" fontId="32" fillId="0" borderId="2" xfId="0" applyFont="1" applyBorder="1" applyAlignment="1">
      <alignment vertical="center"/>
    </xf>
    <xf numFmtId="164" fontId="34" fillId="34" borderId="44" xfId="0" applyNumberFormat="1" applyFont="1" applyFill="1" applyBorder="1" applyAlignment="1">
      <alignment horizontal="center" vertical="center"/>
    </xf>
    <xf numFmtId="0" fontId="35" fillId="31" borderId="0" xfId="0" applyFont="1" applyFill="1" applyAlignment="1">
      <alignment horizontal="left" vertical="center"/>
    </xf>
    <xf numFmtId="1" fontId="40" fillId="30" borderId="17" xfId="0" applyNumberFormat="1" applyFont="1" applyFill="1" applyBorder="1" applyAlignment="1" applyProtection="1">
      <alignment horizontal="center" vertical="center"/>
      <protection locked="0"/>
    </xf>
    <xf numFmtId="170" fontId="0" fillId="0" borderId="0" xfId="0" applyNumberFormat="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vertical="center"/>
    </xf>
    <xf numFmtId="0" fontId="0" fillId="0" borderId="43" xfId="0" applyBorder="1" applyAlignment="1">
      <alignment vertical="center"/>
    </xf>
    <xf numFmtId="9" fontId="40" fillId="30" borderId="22" xfId="1" applyFont="1" applyFill="1" applyBorder="1" applyAlignment="1" applyProtection="1">
      <alignment vertical="center"/>
      <protection locked="0"/>
    </xf>
    <xf numFmtId="9" fontId="40" fillId="30" borderId="57" xfId="1" applyFont="1" applyFill="1" applyBorder="1" applyAlignment="1" applyProtection="1">
      <alignment vertical="center"/>
      <protection locked="0"/>
    </xf>
    <xf numFmtId="164" fontId="34" fillId="0" borderId="0" xfId="0" applyNumberFormat="1" applyFont="1" applyAlignment="1">
      <alignment vertical="center"/>
    </xf>
    <xf numFmtId="0" fontId="34" fillId="31" borderId="30" xfId="0" applyFont="1" applyFill="1" applyBorder="1" applyAlignment="1">
      <alignment vertical="center"/>
    </xf>
    <xf numFmtId="0" fontId="51" fillId="30" borderId="17" xfId="0" applyFont="1" applyFill="1" applyBorder="1" applyAlignment="1" applyProtection="1">
      <alignment horizontal="center" vertical="center"/>
      <protection locked="0"/>
    </xf>
    <xf numFmtId="14" fontId="51" fillId="30" borderId="17" xfId="0" applyNumberFormat="1" applyFont="1" applyFill="1" applyBorder="1" applyAlignment="1" applyProtection="1">
      <alignment horizontal="center" vertical="center"/>
      <protection locked="0"/>
    </xf>
    <xf numFmtId="1" fontId="51" fillId="30" borderId="22" xfId="0" applyNumberFormat="1" applyFont="1" applyFill="1" applyBorder="1" applyAlignment="1" applyProtection="1">
      <alignment horizontal="left" vertical="center"/>
      <protection locked="0"/>
    </xf>
    <xf numFmtId="0" fontId="40" fillId="0" borderId="13" xfId="0" applyFont="1" applyBorder="1" applyAlignment="1">
      <alignment horizontal="left" vertical="center"/>
    </xf>
    <xf numFmtId="0" fontId="40" fillId="0" borderId="23" xfId="0" applyFont="1" applyBorder="1" applyAlignment="1">
      <alignment horizontal="left" vertical="center" wrapText="1"/>
    </xf>
    <xf numFmtId="0" fontId="35" fillId="31" borderId="0" xfId="0" applyFont="1" applyFill="1" applyAlignment="1">
      <alignment horizontal="left" vertical="center"/>
    </xf>
    <xf numFmtId="0" fontId="40" fillId="0" borderId="0" xfId="0" applyFont="1" applyAlignment="1">
      <alignment horizontal="left" vertical="center" wrapText="1"/>
    </xf>
    <xf numFmtId="0" fontId="35" fillId="31" borderId="43" xfId="0" applyFont="1" applyFill="1" applyBorder="1" applyAlignment="1">
      <alignment horizontal="center" vertical="center"/>
    </xf>
    <xf numFmtId="0" fontId="40" fillId="0" borderId="3" xfId="0" applyFont="1" applyBorder="1" applyAlignment="1">
      <alignment horizontal="left" vertical="center" wrapText="1"/>
    </xf>
    <xf numFmtId="0" fontId="40" fillId="0" borderId="1" xfId="0" applyFont="1" applyBorder="1" applyAlignment="1">
      <alignment horizontal="left" vertical="center" wrapText="1"/>
    </xf>
    <xf numFmtId="0" fontId="40" fillId="0" borderId="0" xfId="0" applyFont="1" applyAlignment="1">
      <alignment horizontal="left" vertical="center"/>
    </xf>
    <xf numFmtId="0" fontId="47" fillId="0" borderId="0" xfId="0" applyFont="1" applyAlignment="1">
      <alignment horizontal="center" vertical="center"/>
    </xf>
    <xf numFmtId="0" fontId="46" fillId="31" borderId="0" xfId="0" applyFont="1" applyFill="1" applyAlignment="1">
      <alignment horizontal="center" vertical="center"/>
    </xf>
    <xf numFmtId="0" fontId="40" fillId="0" borderId="0" xfId="0" applyFont="1" applyAlignment="1">
      <alignment horizontal="center" vertical="center"/>
    </xf>
    <xf numFmtId="0" fontId="33" fillId="31" borderId="1" xfId="0" applyFont="1" applyFill="1" applyBorder="1" applyAlignment="1">
      <alignment horizontal="center" vertical="center"/>
    </xf>
    <xf numFmtId="0" fontId="33" fillId="31" borderId="2" xfId="0" applyFont="1" applyFill="1" applyBorder="1" applyAlignment="1">
      <alignment horizontal="center" vertical="center"/>
    </xf>
    <xf numFmtId="0" fontId="33" fillId="31" borderId="3" xfId="0" applyFont="1" applyFill="1" applyBorder="1" applyAlignment="1">
      <alignment horizontal="center" vertical="center"/>
    </xf>
    <xf numFmtId="0" fontId="40" fillId="0" borderId="23" xfId="0" applyFont="1" applyBorder="1" applyAlignment="1">
      <alignment horizontal="left" vertical="center"/>
    </xf>
    <xf numFmtId="0" fontId="33" fillId="31" borderId="23" xfId="0" applyFont="1" applyFill="1" applyBorder="1" applyAlignment="1">
      <alignment horizontal="center" vertical="center"/>
    </xf>
    <xf numFmtId="0" fontId="40" fillId="0" borderId="3" xfId="0" applyFont="1" applyBorder="1" applyAlignment="1">
      <alignment horizontal="left" vertical="center"/>
    </xf>
    <xf numFmtId="0" fontId="40" fillId="0" borderId="1" xfId="0" applyFont="1" applyBorder="1" applyAlignment="1">
      <alignment horizontal="left" vertical="center"/>
    </xf>
    <xf numFmtId="0" fontId="34" fillId="31" borderId="23" xfId="0" applyFont="1" applyFill="1" applyBorder="1" applyAlignment="1">
      <alignment horizontal="center" vertical="center"/>
    </xf>
    <xf numFmtId="0" fontId="40" fillId="0" borderId="28" xfId="0" applyFont="1" applyBorder="1" applyAlignment="1">
      <alignment horizontal="left" vertical="center"/>
    </xf>
    <xf numFmtId="0" fontId="40" fillId="0" borderId="30" xfId="0" applyFont="1" applyBorder="1" applyAlignment="1">
      <alignment horizontal="left" vertical="center"/>
    </xf>
    <xf numFmtId="0" fontId="7" fillId="0" borderId="0" xfId="0" applyFont="1" applyAlignment="1">
      <alignment horizontal="center" vertical="center"/>
    </xf>
    <xf numFmtId="0" fontId="2" fillId="2" borderId="0" xfId="0" applyFont="1" applyFill="1" applyAlignment="1">
      <alignment horizontal="center" vertical="center"/>
    </xf>
    <xf numFmtId="0" fontId="2" fillId="2" borderId="0" xfId="0" applyFont="1" applyFill="1" applyAlignment="1">
      <alignment horizontal="center" vertical="center" wrapText="1"/>
    </xf>
    <xf numFmtId="0" fontId="2" fillId="2" borderId="13" xfId="0" applyFont="1" applyFill="1" applyBorder="1" applyAlignment="1">
      <alignment horizontal="center" vertical="center"/>
    </xf>
    <xf numFmtId="0" fontId="39" fillId="0" borderId="0" xfId="0" applyFont="1" applyAlignment="1">
      <alignment horizontal="left" vertical="center"/>
    </xf>
    <xf numFmtId="0" fontId="39" fillId="0" borderId="0" xfId="2" applyFont="1" applyBorder="1" applyAlignment="1">
      <alignment horizontal="left" vertical="center"/>
    </xf>
    <xf numFmtId="0" fontId="34" fillId="31" borderId="0" xfId="0" applyFont="1" applyFill="1" applyAlignment="1">
      <alignment horizontal="left" vertical="center"/>
    </xf>
    <xf numFmtId="0" fontId="34" fillId="31" borderId="0" xfId="0" applyFont="1" applyFill="1" applyAlignment="1">
      <alignment horizontal="center" vertical="center"/>
    </xf>
    <xf numFmtId="0" fontId="32" fillId="0" borderId="13" xfId="0" applyFont="1" applyBorder="1" applyAlignment="1">
      <alignment horizontal="left" vertical="center"/>
    </xf>
    <xf numFmtId="0" fontId="35" fillId="31" borderId="0" xfId="0" applyFont="1" applyFill="1" applyAlignment="1">
      <alignment horizontal="center" vertical="center"/>
    </xf>
    <xf numFmtId="0" fontId="32" fillId="0" borderId="0" xfId="0" applyFont="1" applyAlignment="1">
      <alignment horizontal="left" vertical="center" wrapText="1"/>
    </xf>
    <xf numFmtId="0" fontId="40" fillId="30" borderId="68" xfId="0" applyFont="1" applyFill="1" applyBorder="1" applyAlignment="1" applyProtection="1">
      <alignment horizontal="center" vertical="center" wrapText="1"/>
      <protection locked="0"/>
    </xf>
    <xf numFmtId="0" fontId="40" fillId="30" borderId="58" xfId="0" applyFont="1" applyFill="1" applyBorder="1" applyAlignment="1" applyProtection="1">
      <alignment horizontal="center" vertical="center" wrapText="1"/>
      <protection locked="0"/>
    </xf>
    <xf numFmtId="0" fontId="40" fillId="30" borderId="19" xfId="0" applyFont="1" applyFill="1" applyBorder="1" applyAlignment="1" applyProtection="1">
      <alignment horizontal="center" vertical="center" wrapText="1"/>
      <protection locked="0"/>
    </xf>
    <xf numFmtId="0" fontId="45" fillId="31" borderId="0" xfId="0" applyFont="1" applyFill="1" applyAlignment="1">
      <alignment horizontal="center" vertical="center"/>
    </xf>
    <xf numFmtId="0" fontId="40" fillId="32" borderId="63" xfId="0" applyFont="1" applyFill="1" applyBorder="1" applyAlignment="1">
      <alignment horizontal="left" vertical="center" wrapText="1"/>
    </xf>
    <xf numFmtId="0" fontId="48" fillId="0" borderId="0" xfId="0" applyFont="1" applyAlignment="1">
      <alignment horizontal="left" vertical="center" wrapText="1"/>
    </xf>
    <xf numFmtId="0" fontId="40" fillId="30" borderId="21" xfId="0" applyFont="1" applyFill="1" applyBorder="1" applyAlignment="1">
      <alignment horizontal="center" vertical="center"/>
    </xf>
    <xf numFmtId="0" fontId="40" fillId="30" borderId="17" xfId="0" applyFont="1" applyFill="1" applyBorder="1" applyAlignment="1">
      <alignment horizontal="center" vertical="center"/>
    </xf>
    <xf numFmtId="0" fontId="34" fillId="31" borderId="1" xfId="0" applyFont="1" applyFill="1" applyBorder="1" applyAlignment="1">
      <alignment horizontal="center" vertical="center"/>
    </xf>
    <xf numFmtId="0" fontId="34" fillId="31" borderId="3" xfId="0" applyFont="1" applyFill="1" applyBorder="1" applyAlignment="1">
      <alignment horizontal="center" vertical="center"/>
    </xf>
    <xf numFmtId="0" fontId="34" fillId="31" borderId="2" xfId="0" applyFont="1" applyFill="1" applyBorder="1" applyAlignment="1">
      <alignment horizontal="center" vertical="center"/>
    </xf>
    <xf numFmtId="0" fontId="34" fillId="31" borderId="24" xfId="0" applyFont="1" applyFill="1" applyBorder="1" applyAlignment="1">
      <alignment horizontal="center" vertical="center"/>
    </xf>
    <xf numFmtId="0" fontId="34" fillId="31" borderId="14" xfId="0" applyFont="1" applyFill="1" applyBorder="1" applyAlignment="1">
      <alignment horizontal="center" vertical="center"/>
    </xf>
    <xf numFmtId="0" fontId="40" fillId="0" borderId="43"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13" xfId="0" applyFont="1" applyBorder="1" applyAlignment="1" applyProtection="1">
      <alignment horizontal="left" vertical="center"/>
      <protection locked="0"/>
    </xf>
    <xf numFmtId="0" fontId="40" fillId="0" borderId="15" xfId="0" applyFont="1" applyBorder="1" applyAlignment="1" applyProtection="1">
      <alignment horizontal="left" vertical="center"/>
      <protection locked="0"/>
    </xf>
    <xf numFmtId="0" fontId="40" fillId="0" borderId="0" xfId="0" quotePrefix="1" applyFont="1" applyAlignment="1" applyProtection="1">
      <alignment horizontal="left" vertical="center"/>
      <protection locked="0"/>
    </xf>
    <xf numFmtId="0" fontId="40" fillId="0" borderId="27" xfId="0" quotePrefix="1" applyFont="1" applyBorder="1" applyAlignment="1" applyProtection="1">
      <alignment horizontal="left" vertical="center"/>
      <protection locked="0"/>
    </xf>
    <xf numFmtId="0" fontId="34" fillId="31" borderId="23" xfId="0" applyFont="1" applyFill="1" applyBorder="1" applyAlignment="1">
      <alignment horizontal="center" vertical="center" wrapText="1"/>
    </xf>
    <xf numFmtId="0" fontId="52" fillId="30" borderId="57" xfId="0" applyFont="1" applyFill="1" applyBorder="1" applyAlignment="1" applyProtection="1">
      <alignment horizontal="center" vertical="center" wrapText="1"/>
      <protection locked="0"/>
    </xf>
    <xf numFmtId="0" fontId="40" fillId="30" borderId="60" xfId="0" applyFont="1" applyFill="1" applyBorder="1" applyAlignment="1" applyProtection="1">
      <alignment horizontal="center" vertical="center" wrapText="1"/>
      <protection locked="0"/>
    </xf>
    <xf numFmtId="0" fontId="40" fillId="30" borderId="69" xfId="0" applyFont="1" applyFill="1" applyBorder="1" applyAlignment="1" applyProtection="1">
      <alignment horizontal="center" vertical="center" wrapText="1"/>
      <protection locked="0"/>
    </xf>
    <xf numFmtId="0" fontId="40" fillId="30" borderId="70" xfId="0" applyFont="1" applyFill="1" applyBorder="1" applyAlignment="1" applyProtection="1">
      <alignment horizontal="center" vertical="center" wrapText="1"/>
      <protection locked="0"/>
    </xf>
    <xf numFmtId="0" fontId="40" fillId="30" borderId="59" xfId="0" applyFont="1" applyFill="1" applyBorder="1" applyAlignment="1" applyProtection="1">
      <alignment horizontal="center" vertical="center" wrapText="1"/>
      <protection locked="0"/>
    </xf>
    <xf numFmtId="0" fontId="40" fillId="30" borderId="20" xfId="0" applyFont="1" applyFill="1" applyBorder="1" applyAlignment="1" applyProtection="1">
      <alignment horizontal="center" vertical="center" wrapText="1"/>
      <protection locked="0"/>
    </xf>
    <xf numFmtId="0" fontId="43" fillId="0" borderId="13" xfId="0" applyFont="1" applyBorder="1" applyAlignment="1">
      <alignment horizontal="left" vertical="center"/>
    </xf>
    <xf numFmtId="0" fontId="40" fillId="0" borderId="23" xfId="0" applyFont="1" applyBorder="1" applyAlignment="1" applyProtection="1">
      <alignment horizontal="center" vertical="center"/>
      <protection locked="0"/>
    </xf>
    <xf numFmtId="0" fontId="48" fillId="0" borderId="0" xfId="0" applyFont="1" applyAlignment="1">
      <alignment horizontal="left" vertical="center"/>
    </xf>
    <xf numFmtId="0" fontId="34" fillId="31" borderId="28" xfId="0" applyFont="1" applyFill="1" applyBorder="1" applyAlignment="1">
      <alignment horizontal="center" vertical="center"/>
    </xf>
    <xf numFmtId="0" fontId="43" fillId="30" borderId="22" xfId="0" applyFont="1" applyFill="1" applyBorder="1" applyAlignment="1" applyProtection="1">
      <alignment horizontal="center" vertical="center" wrapText="1"/>
      <protection locked="0"/>
    </xf>
    <xf numFmtId="0" fontId="43" fillId="30" borderId="21" xfId="0" applyFont="1" applyFill="1" applyBorder="1" applyAlignment="1" applyProtection="1">
      <alignment horizontal="center" vertical="center" wrapText="1"/>
      <protection locked="0"/>
    </xf>
    <xf numFmtId="0" fontId="43" fillId="30" borderId="21" xfId="0" applyFont="1" applyFill="1" applyBorder="1" applyAlignment="1" applyProtection="1">
      <alignment horizontal="center" vertical="center"/>
      <protection locked="0"/>
    </xf>
    <xf numFmtId="0" fontId="40" fillId="31" borderId="23" xfId="0" applyFont="1" applyFill="1" applyBorder="1" applyAlignment="1">
      <alignment horizontal="left" vertical="center" wrapText="1"/>
    </xf>
    <xf numFmtId="0" fontId="43" fillId="30" borderId="18" xfId="0" applyFont="1" applyFill="1" applyBorder="1" applyAlignment="1" applyProtection="1">
      <alignment horizontal="center" vertical="center" wrapText="1"/>
      <protection locked="0"/>
    </xf>
    <xf numFmtId="0" fontId="43" fillId="30" borderId="58" xfId="0" applyFont="1" applyFill="1" applyBorder="1" applyAlignment="1" applyProtection="1">
      <alignment horizontal="center" vertical="center"/>
      <protection locked="0"/>
    </xf>
    <xf numFmtId="0" fontId="43" fillId="30" borderId="19" xfId="0" applyFont="1" applyFill="1" applyBorder="1" applyAlignment="1" applyProtection="1">
      <alignment horizontal="center" vertical="center"/>
      <protection locked="0"/>
    </xf>
    <xf numFmtId="0" fontId="43" fillId="30" borderId="57" xfId="0" applyFont="1" applyFill="1" applyBorder="1" applyAlignment="1" applyProtection="1">
      <alignment horizontal="center" vertical="center" wrapText="1"/>
      <protection locked="0"/>
    </xf>
    <xf numFmtId="0" fontId="43" fillId="30" borderId="60" xfId="0" applyFont="1" applyFill="1" applyBorder="1" applyAlignment="1" applyProtection="1">
      <alignment horizontal="center" vertical="center"/>
      <protection locked="0"/>
    </xf>
    <xf numFmtId="0" fontId="43" fillId="30" borderId="69" xfId="0" applyFont="1" applyFill="1" applyBorder="1" applyAlignment="1" applyProtection="1">
      <alignment horizontal="center" vertical="center"/>
      <protection locked="0"/>
    </xf>
    <xf numFmtId="0" fontId="43" fillId="30" borderId="70" xfId="0" applyFont="1" applyFill="1" applyBorder="1" applyAlignment="1" applyProtection="1">
      <alignment horizontal="center" vertical="center"/>
      <protection locked="0"/>
    </xf>
    <xf numFmtId="0" fontId="43" fillId="30" borderId="59" xfId="0" applyFont="1" applyFill="1" applyBorder="1" applyAlignment="1" applyProtection="1">
      <alignment horizontal="center" vertical="center"/>
      <protection locked="0"/>
    </xf>
    <xf numFmtId="0" fontId="43" fillId="30" borderId="20" xfId="0" applyFont="1" applyFill="1" applyBorder="1" applyAlignment="1" applyProtection="1">
      <alignment horizontal="center" vertical="center"/>
      <protection locked="0"/>
    </xf>
    <xf numFmtId="0" fontId="40" fillId="31" borderId="23" xfId="0" applyFont="1" applyFill="1" applyBorder="1" applyAlignment="1">
      <alignment horizontal="center" vertical="center" wrapText="1"/>
    </xf>
    <xf numFmtId="0" fontId="43" fillId="30" borderId="60" xfId="0" applyFont="1" applyFill="1" applyBorder="1" applyAlignment="1" applyProtection="1">
      <alignment horizontal="center" vertical="center" wrapText="1"/>
      <protection locked="0"/>
    </xf>
    <xf numFmtId="0" fontId="43" fillId="30" borderId="69" xfId="0" applyFont="1" applyFill="1" applyBorder="1" applyAlignment="1" applyProtection="1">
      <alignment horizontal="center" vertical="center" wrapText="1"/>
      <protection locked="0"/>
    </xf>
    <xf numFmtId="0" fontId="43" fillId="30" borderId="70" xfId="0" applyFont="1" applyFill="1" applyBorder="1" applyAlignment="1" applyProtection="1">
      <alignment horizontal="center" vertical="center" wrapText="1"/>
      <protection locked="0"/>
    </xf>
    <xf numFmtId="0" fontId="43" fillId="30" borderId="59" xfId="0" applyFont="1" applyFill="1" applyBorder="1" applyAlignment="1" applyProtection="1">
      <alignment horizontal="center" vertical="center" wrapText="1"/>
      <protection locked="0"/>
    </xf>
    <xf numFmtId="0" fontId="43" fillId="30" borderId="20" xfId="0" applyFont="1" applyFill="1" applyBorder="1" applyAlignment="1" applyProtection="1">
      <alignment horizontal="center" vertical="center" wrapText="1"/>
      <protection locked="0"/>
    </xf>
    <xf numFmtId="0" fontId="40" fillId="31" borderId="1" xfId="0" applyFont="1" applyFill="1" applyBorder="1" applyAlignment="1">
      <alignment horizontal="left" vertical="center" wrapText="1"/>
    </xf>
    <xf numFmtId="0" fontId="40" fillId="31" borderId="23" xfId="0" applyFont="1" applyFill="1" applyBorder="1" applyAlignment="1">
      <alignment horizontal="center" vertical="center"/>
    </xf>
    <xf numFmtId="0" fontId="40" fillId="31" borderId="1" xfId="0" applyFont="1" applyFill="1" applyBorder="1" applyAlignment="1">
      <alignment horizontal="center" vertical="center"/>
    </xf>
    <xf numFmtId="0" fontId="40" fillId="0" borderId="1" xfId="0" applyFont="1" applyBorder="1" applyAlignment="1" applyProtection="1">
      <alignment horizontal="center" vertical="center"/>
      <protection locked="0"/>
    </xf>
    <xf numFmtId="0" fontId="35" fillId="29" borderId="44" xfId="0" applyFont="1" applyFill="1" applyBorder="1" applyAlignment="1">
      <alignment horizontal="center" vertical="center" wrapText="1"/>
    </xf>
    <xf numFmtId="0" fontId="35" fillId="31" borderId="0" xfId="0" applyFont="1" applyFill="1" applyAlignment="1">
      <alignment horizontal="left" vertical="center" wrapText="1"/>
    </xf>
    <xf numFmtId="0" fontId="35" fillId="31" borderId="23" xfId="0" applyFont="1" applyFill="1" applyBorder="1" applyAlignment="1">
      <alignment horizontal="left" vertical="center" wrapText="1"/>
    </xf>
    <xf numFmtId="0" fontId="35" fillId="31" borderId="1" xfId="0" applyFont="1" applyFill="1" applyBorder="1" applyAlignment="1">
      <alignment horizontal="left" vertical="center" wrapText="1"/>
    </xf>
    <xf numFmtId="0" fontId="40" fillId="0" borderId="23" xfId="0" applyFont="1" applyBorder="1" applyAlignment="1">
      <alignment horizontal="center" vertical="center"/>
    </xf>
    <xf numFmtId="0" fontId="40" fillId="0" borderId="1" xfId="0" applyFont="1" applyBorder="1" applyAlignment="1">
      <alignment horizontal="center" vertical="center"/>
    </xf>
    <xf numFmtId="0" fontId="40" fillId="0" borderId="23" xfId="0" applyFont="1" applyBorder="1" applyAlignment="1">
      <alignment horizontal="center" vertical="center" wrapText="1"/>
    </xf>
    <xf numFmtId="0" fontId="40" fillId="29" borderId="44" xfId="0" applyFont="1" applyFill="1" applyBorder="1" applyAlignment="1">
      <alignment horizontal="center" vertical="center" wrapText="1"/>
    </xf>
    <xf numFmtId="0" fontId="40" fillId="31" borderId="23" xfId="0" applyFont="1" applyFill="1" applyBorder="1" applyAlignment="1">
      <alignment vertical="center" wrapText="1"/>
    </xf>
    <xf numFmtId="0" fontId="40" fillId="0" borderId="13" xfId="0" applyFont="1" applyBorder="1" applyAlignment="1">
      <alignment horizontal="left" vertical="center" wrapText="1"/>
    </xf>
    <xf numFmtId="0" fontId="40" fillId="0" borderId="15" xfId="0" applyFont="1" applyBorder="1" applyAlignment="1">
      <alignment horizontal="center" vertical="center"/>
    </xf>
    <xf numFmtId="0" fontId="40" fillId="0" borderId="30" xfId="0" applyFont="1" applyBorder="1" applyAlignment="1">
      <alignment horizontal="center" vertical="center"/>
    </xf>
    <xf numFmtId="0" fontId="40" fillId="0" borderId="3" xfId="0" applyFont="1" applyBorder="1" applyAlignment="1">
      <alignment horizontal="center" vertical="center"/>
    </xf>
    <xf numFmtId="0" fontId="35" fillId="31" borderId="23" xfId="0" applyFont="1" applyFill="1" applyBorder="1" applyAlignment="1">
      <alignment horizontal="left" vertical="center"/>
    </xf>
    <xf numFmtId="0" fontId="35" fillId="31" borderId="0" xfId="0" applyFont="1" applyFill="1" applyAlignment="1">
      <alignment horizontal="center" vertical="center" wrapText="1"/>
    </xf>
    <xf numFmtId="0" fontId="50" fillId="0" borderId="0" xfId="0" applyFont="1" applyAlignment="1">
      <alignment horizontal="left" vertical="center" wrapText="1"/>
    </xf>
    <xf numFmtId="0" fontId="34" fillId="31" borderId="18" xfId="0" applyFont="1" applyFill="1" applyBorder="1" applyAlignment="1">
      <alignment horizontal="center" vertical="center"/>
    </xf>
    <xf numFmtId="0" fontId="40" fillId="0" borderId="25" xfId="0" applyFont="1" applyBorder="1" applyAlignment="1">
      <alignment horizontal="center" vertical="center"/>
    </xf>
    <xf numFmtId="0" fontId="40" fillId="0" borderId="28" xfId="0" applyFont="1" applyBorder="1" applyAlignment="1">
      <alignment horizontal="center" vertical="center"/>
    </xf>
    <xf numFmtId="0" fontId="40" fillId="31" borderId="1" xfId="0" applyFont="1" applyFill="1" applyBorder="1" applyAlignment="1">
      <alignment horizontal="center" vertical="center" wrapText="1"/>
    </xf>
    <xf numFmtId="0" fontId="40" fillId="31" borderId="3" xfId="0" applyFont="1" applyFill="1" applyBorder="1" applyAlignment="1">
      <alignment horizontal="center" vertical="center" wrapText="1"/>
    </xf>
    <xf numFmtId="0" fontId="40" fillId="0" borderId="0" xfId="0" applyFont="1" applyAlignment="1" applyProtection="1">
      <alignment horizontal="center" vertical="center"/>
      <protection locked="0"/>
    </xf>
    <xf numFmtId="0" fontId="40" fillId="0" borderId="43" xfId="0" applyFont="1" applyBorder="1" applyAlignment="1" applyProtection="1">
      <alignment horizontal="center" vertical="center"/>
      <protection locked="0"/>
    </xf>
    <xf numFmtId="0" fontId="40" fillId="30" borderId="17" xfId="0" applyFont="1" applyFill="1" applyBorder="1" applyAlignment="1" applyProtection="1">
      <alignment horizontal="center" vertical="center" wrapText="1"/>
      <protection locked="0"/>
    </xf>
    <xf numFmtId="0" fontId="40" fillId="0" borderId="13"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25" xfId="0" applyFont="1" applyBorder="1" applyAlignment="1" applyProtection="1">
      <alignment horizontal="center" vertical="center"/>
      <protection locked="0"/>
    </xf>
    <xf numFmtId="0" fontId="40" fillId="0" borderId="2"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27" xfId="0" applyFont="1" applyBorder="1" applyAlignment="1" applyProtection="1">
      <alignment horizontal="center" vertical="center"/>
      <protection locked="0"/>
    </xf>
    <xf numFmtId="0" fontId="40" fillId="30" borderId="73" xfId="0" applyFont="1" applyFill="1" applyBorder="1" applyAlignment="1" applyProtection="1">
      <alignment horizontal="center" vertical="center" wrapText="1"/>
      <protection locked="0"/>
    </xf>
    <xf numFmtId="0" fontId="34" fillId="29" borderId="49" xfId="0" applyFont="1" applyFill="1" applyBorder="1" applyAlignment="1">
      <alignment horizontal="center" vertical="center" wrapText="1"/>
    </xf>
    <xf numFmtId="0" fontId="34" fillId="29" borderId="45" xfId="0" applyFont="1" applyFill="1" applyBorder="1" applyAlignment="1">
      <alignment horizontal="center" vertical="center" wrapText="1"/>
    </xf>
    <xf numFmtId="0" fontId="34" fillId="29" borderId="56" xfId="0" applyFont="1" applyFill="1" applyBorder="1" applyAlignment="1">
      <alignment horizontal="center" vertical="center" wrapText="1"/>
    </xf>
    <xf numFmtId="0" fontId="40" fillId="29" borderId="46" xfId="0" applyFont="1" applyFill="1" applyBorder="1" applyAlignment="1">
      <alignment horizontal="center" vertical="center" wrapText="1"/>
    </xf>
    <xf numFmtId="0" fontId="40" fillId="29" borderId="71" xfId="0" applyFont="1" applyFill="1" applyBorder="1" applyAlignment="1">
      <alignment horizontal="center" vertical="center" wrapText="1"/>
    </xf>
    <xf numFmtId="0" fontId="40" fillId="29" borderId="47" xfId="0" applyFont="1" applyFill="1" applyBorder="1" applyAlignment="1">
      <alignment horizontal="center" vertical="center" wrapText="1"/>
    </xf>
    <xf numFmtId="0" fontId="40" fillId="29" borderId="61" xfId="0" applyFont="1" applyFill="1" applyBorder="1" applyAlignment="1">
      <alignment horizontal="center" vertical="center" wrapText="1"/>
    </xf>
    <xf numFmtId="0" fontId="40" fillId="29" borderId="48" xfId="0" applyFont="1" applyFill="1" applyBorder="1" applyAlignment="1">
      <alignment horizontal="center" vertical="center" wrapText="1"/>
    </xf>
    <xf numFmtId="0" fontId="40" fillId="29" borderId="62" xfId="0" applyFont="1" applyFill="1" applyBorder="1" applyAlignment="1">
      <alignment horizontal="center" vertical="center" wrapText="1"/>
    </xf>
    <xf numFmtId="0" fontId="34" fillId="31" borderId="23" xfId="0" applyFont="1" applyFill="1" applyBorder="1" applyAlignment="1">
      <alignment horizontal="left" vertical="center"/>
    </xf>
    <xf numFmtId="0" fontId="40" fillId="29" borderId="50" xfId="0" applyFont="1" applyFill="1" applyBorder="1" applyAlignment="1">
      <alignment horizontal="center" vertical="center" wrapText="1"/>
    </xf>
    <xf numFmtId="0" fontId="40" fillId="29" borderId="52" xfId="0" applyFont="1" applyFill="1" applyBorder="1" applyAlignment="1">
      <alignment horizontal="center" vertical="center" wrapText="1"/>
    </xf>
    <xf numFmtId="0" fontId="40" fillId="29" borderId="51" xfId="0" applyFont="1" applyFill="1" applyBorder="1" applyAlignment="1">
      <alignment horizontal="center" vertical="center" wrapText="1"/>
    </xf>
    <xf numFmtId="0" fontId="40" fillId="29" borderId="49" xfId="0" applyFont="1" applyFill="1" applyBorder="1" applyAlignment="1">
      <alignment horizontal="center" vertical="center" wrapText="1"/>
    </xf>
    <xf numFmtId="0" fontId="40" fillId="29" borderId="56" xfId="0" applyFont="1" applyFill="1" applyBorder="1" applyAlignment="1">
      <alignment horizontal="center" vertical="center" wrapText="1"/>
    </xf>
    <xf numFmtId="0" fontId="34" fillId="31" borderId="1" xfId="0" applyFont="1" applyFill="1" applyBorder="1" applyAlignment="1">
      <alignment horizontal="left" vertical="center"/>
    </xf>
    <xf numFmtId="0" fontId="34" fillId="31" borderId="23" xfId="0" applyFont="1" applyFill="1" applyBorder="1" applyAlignment="1">
      <alignment horizontal="left" vertical="center" wrapText="1"/>
    </xf>
    <xf numFmtId="0" fontId="34" fillId="31" borderId="1" xfId="0" applyFont="1" applyFill="1" applyBorder="1" applyAlignment="1">
      <alignment horizontal="left" vertical="center" wrapText="1"/>
    </xf>
    <xf numFmtId="0" fontId="34" fillId="31" borderId="2" xfId="0" applyFont="1" applyFill="1" applyBorder="1" applyAlignment="1">
      <alignment horizontal="left" vertical="center" wrapText="1"/>
    </xf>
    <xf numFmtId="0" fontId="34" fillId="31" borderId="3" xfId="0" applyFont="1" applyFill="1" applyBorder="1" applyAlignment="1">
      <alignment horizontal="left" vertical="center" wrapText="1"/>
    </xf>
    <xf numFmtId="0" fontId="40" fillId="0" borderId="39" xfId="0" applyFont="1" applyBorder="1" applyAlignment="1">
      <alignment horizontal="center" vertical="center"/>
    </xf>
    <xf numFmtId="0" fontId="40" fillId="0" borderId="40" xfId="0" applyFont="1" applyBorder="1" applyAlignment="1">
      <alignment horizontal="center" vertical="center"/>
    </xf>
    <xf numFmtId="0" fontId="40" fillId="0" borderId="37" xfId="0" applyFont="1" applyBorder="1" applyAlignment="1">
      <alignment horizontal="center" vertical="center"/>
    </xf>
    <xf numFmtId="0" fontId="40" fillId="0" borderId="34" xfId="0" applyFont="1" applyBorder="1" applyAlignment="1">
      <alignment horizontal="center" vertical="center"/>
    </xf>
    <xf numFmtId="0" fontId="40" fillId="0" borderId="35" xfId="0" applyFont="1" applyBorder="1" applyAlignment="1">
      <alignment horizontal="center" vertical="center"/>
    </xf>
    <xf numFmtId="0" fontId="40" fillId="31" borderId="23" xfId="0" applyFont="1" applyFill="1" applyBorder="1" applyAlignment="1">
      <alignment horizontal="left" vertical="center"/>
    </xf>
    <xf numFmtId="0" fontId="40" fillId="31" borderId="1" xfId="0" applyFont="1" applyFill="1" applyBorder="1" applyAlignment="1">
      <alignment horizontal="left" vertical="center"/>
    </xf>
    <xf numFmtId="0" fontId="34" fillId="31" borderId="74" xfId="0" applyFont="1" applyFill="1" applyBorder="1" applyAlignment="1">
      <alignment horizontal="center" vertical="center"/>
    </xf>
    <xf numFmtId="0" fontId="34" fillId="31" borderId="75" xfId="0" applyFont="1" applyFill="1" applyBorder="1" applyAlignment="1">
      <alignment horizontal="center" vertical="center"/>
    </xf>
    <xf numFmtId="0" fontId="40" fillId="31" borderId="2" xfId="0" applyFont="1" applyFill="1" applyBorder="1" applyAlignment="1">
      <alignment horizontal="center" vertical="center" wrapText="1"/>
    </xf>
    <xf numFmtId="0" fontId="40" fillId="31" borderId="72" xfId="0" applyFont="1" applyFill="1" applyBorder="1" applyAlignment="1">
      <alignment horizontal="center" vertical="center" wrapText="1"/>
    </xf>
    <xf numFmtId="164" fontId="34" fillId="29" borderId="49" xfId="0" applyNumberFormat="1" applyFont="1" applyFill="1" applyBorder="1" applyAlignment="1">
      <alignment horizontal="center" vertical="center"/>
    </xf>
    <xf numFmtId="164" fontId="34" fillId="29" borderId="56" xfId="0" applyNumberFormat="1" applyFont="1" applyFill="1" applyBorder="1" applyAlignment="1">
      <alignment horizontal="center" vertical="center"/>
    </xf>
    <xf numFmtId="2" fontId="34" fillId="31" borderId="1" xfId="0" applyNumberFormat="1" applyFont="1" applyFill="1" applyBorder="1" applyAlignment="1">
      <alignment horizontal="center" vertical="center"/>
    </xf>
    <xf numFmtId="2" fontId="34" fillId="31" borderId="72" xfId="0" applyNumberFormat="1" applyFont="1" applyFill="1" applyBorder="1" applyAlignment="1">
      <alignment horizontal="center" vertical="center"/>
    </xf>
    <xf numFmtId="0" fontId="34" fillId="32" borderId="66" xfId="0" applyFont="1" applyFill="1" applyBorder="1" applyAlignment="1">
      <alignment horizontal="center" vertical="center" wrapText="1"/>
    </xf>
    <xf numFmtId="0" fontId="34" fillId="32" borderId="67" xfId="0" applyFont="1" applyFill="1" applyBorder="1" applyAlignment="1">
      <alignment horizontal="center" vertical="center" wrapText="1"/>
    </xf>
    <xf numFmtId="0" fontId="34" fillId="29" borderId="49" xfId="0" applyFont="1" applyFill="1" applyBorder="1" applyAlignment="1">
      <alignment horizontal="center" vertical="center"/>
    </xf>
    <xf numFmtId="0" fontId="34" fillId="29" borderId="56" xfId="0" applyFont="1" applyFill="1" applyBorder="1" applyAlignment="1">
      <alignment horizontal="center" vertical="center"/>
    </xf>
    <xf numFmtId="2" fontId="34" fillId="31" borderId="23" xfId="0" applyNumberFormat="1" applyFont="1" applyFill="1" applyBorder="1" applyAlignment="1">
      <alignment horizontal="left" vertical="center"/>
    </xf>
    <xf numFmtId="2" fontId="34" fillId="31" borderId="1" xfId="0" applyNumberFormat="1" applyFont="1" applyFill="1" applyBorder="1" applyAlignment="1">
      <alignment horizontal="left" vertical="center"/>
    </xf>
    <xf numFmtId="2" fontId="34" fillId="31" borderId="23" xfId="0" applyNumberFormat="1" applyFont="1" applyFill="1" applyBorder="1" applyAlignment="1">
      <alignment horizontal="center" vertical="center"/>
    </xf>
    <xf numFmtId="0" fontId="34" fillId="31" borderId="28" xfId="0" applyFont="1" applyFill="1" applyBorder="1" applyAlignment="1">
      <alignment horizontal="left" vertical="center"/>
    </xf>
    <xf numFmtId="0" fontId="34" fillId="31" borderId="29" xfId="0" applyFont="1" applyFill="1" applyBorder="1" applyAlignment="1">
      <alignment horizontal="left" vertical="center"/>
    </xf>
    <xf numFmtId="0" fontId="34" fillId="31" borderId="30" xfId="0" applyFont="1" applyFill="1" applyBorder="1" applyAlignment="1">
      <alignment horizontal="left" vertical="center"/>
    </xf>
    <xf numFmtId="0" fontId="58" fillId="0" borderId="0" xfId="0" applyFont="1" applyAlignment="1">
      <alignment horizontal="right" vertical="center" wrapText="1"/>
    </xf>
    <xf numFmtId="0" fontId="34" fillId="30" borderId="57" xfId="0" applyFont="1" applyFill="1" applyBorder="1" applyAlignment="1" applyProtection="1">
      <alignment horizontal="center" vertical="center"/>
      <protection locked="0"/>
    </xf>
    <xf numFmtId="0" fontId="34" fillId="30" borderId="69" xfId="0" applyFont="1" applyFill="1" applyBorder="1" applyAlignment="1" applyProtection="1">
      <alignment horizontal="center" vertical="center"/>
      <protection locked="0"/>
    </xf>
    <xf numFmtId="0" fontId="34" fillId="30" borderId="59" xfId="0" applyFont="1" applyFill="1" applyBorder="1" applyAlignment="1" applyProtection="1">
      <alignment horizontal="center" vertical="center"/>
      <protection locked="0"/>
    </xf>
    <xf numFmtId="0" fontId="34" fillId="31" borderId="25" xfId="0" applyFont="1" applyFill="1" applyBorder="1" applyAlignment="1">
      <alignment horizontal="center" vertical="center"/>
    </xf>
    <xf numFmtId="0" fontId="40" fillId="31" borderId="3" xfId="0" applyFont="1" applyFill="1" applyBorder="1" applyAlignment="1">
      <alignment horizontal="center" vertical="center"/>
    </xf>
    <xf numFmtId="0" fontId="40" fillId="31" borderId="14" xfId="0" applyFont="1" applyFill="1" applyBorder="1" applyAlignment="1">
      <alignment horizontal="center" vertical="center"/>
    </xf>
    <xf numFmtId="0" fontId="40" fillId="31" borderId="15" xfId="0" applyFont="1" applyFill="1" applyBorder="1" applyAlignment="1">
      <alignment horizontal="center" vertical="center"/>
    </xf>
    <xf numFmtId="0" fontId="40" fillId="30" borderId="18" xfId="0" applyFont="1" applyFill="1" applyBorder="1" applyAlignment="1" applyProtection="1">
      <alignment horizontal="center" vertical="center"/>
      <protection locked="0"/>
    </xf>
    <xf numFmtId="0" fontId="40" fillId="30" borderId="58" xfId="0" applyFont="1" applyFill="1" applyBorder="1" applyAlignment="1" applyProtection="1">
      <alignment horizontal="center" vertical="center"/>
      <protection locked="0"/>
    </xf>
    <xf numFmtId="0" fontId="40" fillId="30" borderId="19" xfId="0" applyFont="1" applyFill="1" applyBorder="1" applyAlignment="1" applyProtection="1">
      <alignment horizontal="center" vertical="center"/>
      <protection locked="0"/>
    </xf>
    <xf numFmtId="0" fontId="40" fillId="0" borderId="2" xfId="0" applyFont="1" applyBorder="1" applyAlignment="1">
      <alignment horizontal="left" vertical="center" wrapText="1"/>
    </xf>
    <xf numFmtId="0" fontId="34" fillId="0" borderId="0" xfId="0" applyFont="1" applyAlignment="1">
      <alignment horizontal="left" vertical="center"/>
    </xf>
    <xf numFmtId="0" fontId="34" fillId="0" borderId="0" xfId="0" applyFont="1" applyAlignment="1">
      <alignment horizontal="center" vertical="center"/>
    </xf>
    <xf numFmtId="9" fontId="40" fillId="29" borderId="49" xfId="0" applyNumberFormat="1" applyFont="1" applyFill="1" applyBorder="1" applyAlignment="1">
      <alignment horizontal="center" vertical="center"/>
    </xf>
    <xf numFmtId="9" fontId="40" fillId="29" borderId="45" xfId="0" applyNumberFormat="1" applyFont="1" applyFill="1" applyBorder="1" applyAlignment="1">
      <alignment horizontal="center" vertical="center"/>
    </xf>
    <xf numFmtId="9" fontId="40" fillId="29" borderId="56" xfId="0" applyNumberFormat="1" applyFont="1" applyFill="1" applyBorder="1" applyAlignment="1">
      <alignment horizontal="center" vertical="center"/>
    </xf>
  </cellXfs>
  <cellStyles count="207">
    <cellStyle name="20% - Accent1 2" xfId="63" xr:uid="{7D4F4702-026F-4A0D-B445-F52C1E03B3A8}"/>
    <cellStyle name="20% - Accent1 3" xfId="107" xr:uid="{C9C2BCB9-CBF8-4F27-9ABE-9D17489A615F}"/>
    <cellStyle name="20% - Accent1 4" xfId="155" xr:uid="{D5E666BB-58C1-4EF1-9C90-4F793DAEA0FA}"/>
    <cellStyle name="20% - Accent1 5" xfId="11" xr:uid="{B49E009B-C653-4D7B-81C9-0F8744630906}"/>
    <cellStyle name="20% - Accent2 2" xfId="64" xr:uid="{2B9B56BD-17A5-4434-905D-C077729A99E9}"/>
    <cellStyle name="20% - Accent2 3" xfId="108" xr:uid="{B2FF8B50-BE76-4487-A31E-487B244D0C1B}"/>
    <cellStyle name="20% - Accent2 4" xfId="156" xr:uid="{22A76A98-5FC2-4FB5-86A0-FA02897698FB}"/>
    <cellStyle name="20% - Accent2 5" xfId="12" xr:uid="{969A6E72-6DA6-4DB7-9ECC-51B4F73AE6BA}"/>
    <cellStyle name="20% - Accent3 2" xfId="65" xr:uid="{D21A4B77-07B2-490B-9125-FF72F78C2CC7}"/>
    <cellStyle name="20% - Accent3 3" xfId="109" xr:uid="{D4180E36-8141-4CFE-AA8C-0A904F0DCC3D}"/>
    <cellStyle name="20% - Accent3 4" xfId="157" xr:uid="{1C1BA610-6479-4A60-90D9-75BB5CF113C7}"/>
    <cellStyle name="20% - Accent3 5" xfId="13" xr:uid="{C01BA2D2-BF70-4D2B-91ED-5002B99A3D10}"/>
    <cellStyle name="20% - Accent4 2" xfId="66" xr:uid="{D30E6729-F660-4FE3-B803-E6D664FB77A2}"/>
    <cellStyle name="20% - Accent4 3" xfId="110" xr:uid="{878135A2-AABF-463F-8C14-7F75AE96061A}"/>
    <cellStyle name="20% - Accent4 4" xfId="158" xr:uid="{622B11A2-1603-49F5-A888-B4F2A5CDD96D}"/>
    <cellStyle name="20% - Accent4 5" xfId="14" xr:uid="{3FF5D7C5-AE93-412F-9D07-A2410832043B}"/>
    <cellStyle name="20% - Accent5 2" xfId="67" xr:uid="{45C0ECFD-63AE-4ACE-9CDF-E7673077B080}"/>
    <cellStyle name="20% - Accent5 3" xfId="111" xr:uid="{26D72E8D-7C13-4E10-8FDA-B953C03128F2}"/>
    <cellStyle name="20% - Accent5 4" xfId="159" xr:uid="{86410187-C93C-4421-A1BE-BF4093DD5B0B}"/>
    <cellStyle name="20% - Accent5 5" xfId="15" xr:uid="{BA99630D-EB29-4A93-BB28-BCFAFA643348}"/>
    <cellStyle name="20% - Accent6 2" xfId="68" xr:uid="{DF038075-B652-489B-9B94-EDD01F53173F}"/>
    <cellStyle name="20% - Accent6 3" xfId="112" xr:uid="{D50BA5BF-E858-4C11-A250-2A118F5A9142}"/>
    <cellStyle name="20% - Accent6 4" xfId="160" xr:uid="{F753702B-8A5C-4E61-8949-B3A1C0EACF1F}"/>
    <cellStyle name="20% - Accent6 5" xfId="16" xr:uid="{E22B7B3A-020F-4B86-B2CC-A515449EEF0B}"/>
    <cellStyle name="40% - Accent1 2" xfId="69" xr:uid="{F3B8EFD4-D1A0-4283-9045-4F877979003E}"/>
    <cellStyle name="40% - Accent1 3" xfId="113" xr:uid="{09127E76-F322-4CC0-87DC-2738D0E04049}"/>
    <cellStyle name="40% - Accent1 4" xfId="161" xr:uid="{C706B561-9B70-4289-848E-D5278AD4C728}"/>
    <cellStyle name="40% - Accent1 5" xfId="17" xr:uid="{454086B4-F113-4C83-BF50-E78F9CA2577E}"/>
    <cellStyle name="40% - Accent2 2" xfId="70" xr:uid="{B542A8D1-300F-45D5-B148-1B8380D00929}"/>
    <cellStyle name="40% - Accent2 3" xfId="114" xr:uid="{2BF75130-DBCD-4567-B95D-894DDCB8C09A}"/>
    <cellStyle name="40% - Accent2 4" xfId="162" xr:uid="{A9E4BE2C-57B3-4E01-80DD-CAFAA95E673B}"/>
    <cellStyle name="40% - Accent2 5" xfId="18" xr:uid="{8884D1A1-2CE0-4FAA-925C-34EA59B353E4}"/>
    <cellStyle name="40% - Accent3 2" xfId="71" xr:uid="{CAD883E1-1204-43A9-BCBC-39D1D9BF91A0}"/>
    <cellStyle name="40% - Accent3 3" xfId="115" xr:uid="{93667E17-6A9D-4FD7-A0A4-470A60956487}"/>
    <cellStyle name="40% - Accent3 4" xfId="163" xr:uid="{4AF6B209-B382-438A-A35A-CC86138F8604}"/>
    <cellStyle name="40% - Accent3 5" xfId="19" xr:uid="{84FD7816-5CB8-47A2-B53E-F8B31F610CC1}"/>
    <cellStyle name="40% - Accent4 2" xfId="72" xr:uid="{21644C91-0815-425B-B67D-B72AE8219573}"/>
    <cellStyle name="40% - Accent4 3" xfId="116" xr:uid="{F9DEA8DA-DC85-4755-B7A3-7D5CFB1C94ED}"/>
    <cellStyle name="40% - Accent4 4" xfId="164" xr:uid="{5655B4EF-D43D-4AD9-9751-1DA767FBE204}"/>
    <cellStyle name="40% - Accent4 5" xfId="20" xr:uid="{638365E3-846C-42EE-9672-A0389B0CA2D3}"/>
    <cellStyle name="40% - Accent5 2" xfId="73" xr:uid="{C4BF6323-9DB4-41DC-B084-A48CD9AD3BDA}"/>
    <cellStyle name="40% - Accent5 3" xfId="117" xr:uid="{BFAF4303-A1F3-4E4E-9BBD-D00D1FD78BB6}"/>
    <cellStyle name="40% - Accent5 4" xfId="165" xr:uid="{03BA377F-E967-411B-BCB9-669942FFC77B}"/>
    <cellStyle name="40% - Accent5 5" xfId="21" xr:uid="{FF14365B-9FE7-4538-AAA1-C4380D6ACE31}"/>
    <cellStyle name="40% - Accent6 2" xfId="74" xr:uid="{0AF8022B-5590-4C0E-A6A1-49F388DB08EF}"/>
    <cellStyle name="40% - Accent6 3" xfId="118" xr:uid="{EC67FAD6-D5C6-45DA-960C-90320E056D9A}"/>
    <cellStyle name="40% - Accent6 4" xfId="166" xr:uid="{9EFE94B9-5FA8-4DE3-BFC0-23E420646046}"/>
    <cellStyle name="40% - Accent6 5" xfId="22" xr:uid="{9B4B4785-5A1E-4262-96FA-67DE9B1EEBF4}"/>
    <cellStyle name="60% - Accent1 2" xfId="75" xr:uid="{0DABF758-D1C3-45A3-A7B4-A0483E113042}"/>
    <cellStyle name="60% - Accent1 3" xfId="119" xr:uid="{065D128D-7E5E-4FB1-8045-C9801F697E90}"/>
    <cellStyle name="60% - Accent1 4" xfId="167" xr:uid="{A0449860-1E53-41A3-AFF0-385260BF1308}"/>
    <cellStyle name="60% - Accent1 5" xfId="23" xr:uid="{CD43EA65-FA73-4F42-A2A3-EF003003E192}"/>
    <cellStyle name="60% - Accent2 2" xfId="76" xr:uid="{9EB94D31-94CC-4F76-B641-A0CAC999CDF7}"/>
    <cellStyle name="60% - Accent2 3" xfId="120" xr:uid="{65E52A9C-38E7-4454-895D-2703A5F27F82}"/>
    <cellStyle name="60% - Accent2 4" xfId="168" xr:uid="{E29171BE-C34B-4F24-8E4D-36AF60F22BA5}"/>
    <cellStyle name="60% - Accent2 5" xfId="24" xr:uid="{46E3D041-9A5B-4073-8CBF-82CDB886D5B8}"/>
    <cellStyle name="60% - Accent3 2" xfId="77" xr:uid="{0C8FB839-9CA0-48EF-8F2B-60BB62E31DF7}"/>
    <cellStyle name="60% - Accent3 3" xfId="121" xr:uid="{7286743F-A8EF-4B6C-A364-F2E9BC3E13FE}"/>
    <cellStyle name="60% - Accent3 4" xfId="169" xr:uid="{D02F3BE4-280E-444B-ADE9-22FD1B82BDF4}"/>
    <cellStyle name="60% - Accent3 5" xfId="25" xr:uid="{C2CFC45D-CDB8-489A-926C-7532A86F2700}"/>
    <cellStyle name="60% - Accent4 2" xfId="78" xr:uid="{84FCED2F-4526-4153-A738-AD77F13C58B2}"/>
    <cellStyle name="60% - Accent4 3" xfId="122" xr:uid="{437BC720-8AB2-46CA-9A07-9E1AA397DCF8}"/>
    <cellStyle name="60% - Accent4 4" xfId="170" xr:uid="{6A8A9807-E602-476C-9472-2859458FCDBD}"/>
    <cellStyle name="60% - Accent4 5" xfId="26" xr:uid="{AEEE3540-281D-41BA-8A0E-AEBEDE31A2E7}"/>
    <cellStyle name="60% - Accent5 2" xfId="79" xr:uid="{54142CC0-6ABF-4067-972C-23D037A74A4B}"/>
    <cellStyle name="60% - Accent5 3" xfId="123" xr:uid="{1F9F5772-CDC2-463D-917D-E9C8A762A28B}"/>
    <cellStyle name="60% - Accent5 4" xfId="171" xr:uid="{B3A888B8-55C3-4A4E-84BD-D76775D84187}"/>
    <cellStyle name="60% - Accent5 5" xfId="27" xr:uid="{F7F1D9AE-4CC6-4810-824F-671714D32899}"/>
    <cellStyle name="60% - Accent6 2" xfId="80" xr:uid="{433219BC-93AC-4C92-BD27-840A0CDE2BED}"/>
    <cellStyle name="60% - Accent6 3" xfId="124" xr:uid="{24B8011E-49A7-48EC-9E0D-6A62C82894F7}"/>
    <cellStyle name="60% - Accent6 4" xfId="172" xr:uid="{1FB0AECE-AD76-4851-9B1B-A5EE39DAEA73}"/>
    <cellStyle name="60% - Accent6 5" xfId="28" xr:uid="{96D2572B-14B0-4F9E-9C75-B3FECD04B896}"/>
    <cellStyle name="Accent1 2" xfId="81" xr:uid="{A2ED75CF-2C6E-4514-AD84-B527A4917FF4}"/>
    <cellStyle name="Accent1 3" xfId="125" xr:uid="{FD741461-DC0B-48BF-AE14-12DA03F00AD6}"/>
    <cellStyle name="Accent1 4" xfId="173" xr:uid="{DDEEC67A-8021-4084-AE89-389E0383B874}"/>
    <cellStyle name="Accent1 5" xfId="29" xr:uid="{47270B8B-3749-4D72-B84B-70F64D99C9A0}"/>
    <cellStyle name="Accent2 2" xfId="82" xr:uid="{81A42554-52D8-4A6D-9673-742B5D53ACB6}"/>
    <cellStyle name="Accent2 3" xfId="126" xr:uid="{8ACD13EC-D0B6-4559-8EA2-0FE07BE5E977}"/>
    <cellStyle name="Accent2 4" xfId="174" xr:uid="{DE8289F8-A91E-4CE4-A4CF-85F1B0BE9E33}"/>
    <cellStyle name="Accent2 5" xfId="30" xr:uid="{5D49328F-2B60-41B6-A527-C92D13AA10C9}"/>
    <cellStyle name="Accent3 2" xfId="83" xr:uid="{20E95BCF-2414-4C89-A17B-D2A9838C3F40}"/>
    <cellStyle name="Accent3 3" xfId="127" xr:uid="{2E6656AE-1EA8-47D6-A3CA-15989F10AD51}"/>
    <cellStyle name="Accent3 4" xfId="175" xr:uid="{5704644B-3564-44CE-A272-22C8E8B5939F}"/>
    <cellStyle name="Accent3 5" xfId="31" xr:uid="{783C9978-DB9A-4EBF-8ECC-BD133E7BF94D}"/>
    <cellStyle name="Accent4 2" xfId="84" xr:uid="{2C00A756-902D-4699-959D-D0C2944D8019}"/>
    <cellStyle name="Accent4 3" xfId="128" xr:uid="{F849FB3D-9C47-48D3-8DF0-AB37DCB9E38B}"/>
    <cellStyle name="Accent4 4" xfId="176" xr:uid="{3F306BCF-C4C5-4363-A22A-DC4FB1DFC203}"/>
    <cellStyle name="Accent4 5" xfId="32" xr:uid="{8E3CCA8C-D477-45B7-A5AD-6D174B06824C}"/>
    <cellStyle name="Accent5 2" xfId="85" xr:uid="{F1DF313B-5C4D-4021-AA3A-976287C75734}"/>
    <cellStyle name="Accent5 3" xfId="129" xr:uid="{11064155-ED92-4B98-A56C-27BDC1A3F69A}"/>
    <cellStyle name="Accent5 4" xfId="177" xr:uid="{9C1002EE-360D-4CBC-AF76-7F9B8B950C74}"/>
    <cellStyle name="Accent5 5" xfId="33" xr:uid="{44E4FF83-8CDC-451F-8655-5E4D8865E31F}"/>
    <cellStyle name="Accent6 2" xfId="86" xr:uid="{477F4F0E-FC62-4555-9D05-16AC3592BC73}"/>
    <cellStyle name="Accent6 3" xfId="130" xr:uid="{CFEC9A1F-1394-4AAE-A6BC-D59443AAA47F}"/>
    <cellStyle name="Accent6 4" xfId="178" xr:uid="{CEFAB465-FACB-4078-B017-9E2EDA7624CC}"/>
    <cellStyle name="Accent6 5" xfId="34" xr:uid="{B6A74EBC-59C7-44F4-8719-B52C9AA51427}"/>
    <cellStyle name="Bad 2" xfId="87" xr:uid="{85579434-FE21-4058-9CF1-EC63EA3B71A9}"/>
    <cellStyle name="Bad 3" xfId="131" xr:uid="{E7316965-4B4A-4F37-9CF9-0675B6696EA8}"/>
    <cellStyle name="Bad 4" xfId="179" xr:uid="{73B49195-AE21-4875-9CF7-931BF7C09EFF}"/>
    <cellStyle name="Bad 5" xfId="35" xr:uid="{CE810DAF-A135-4470-9D5D-0293DA8CDC43}"/>
    <cellStyle name="Calculation 2" xfId="88" xr:uid="{690B60C1-AF13-48D9-87A1-336EA61FBD08}"/>
    <cellStyle name="Calculation 3" xfId="132" xr:uid="{FCA77C84-D4AA-42F9-A56C-7BF1C54EF168}"/>
    <cellStyle name="Calculation 4" xfId="180" xr:uid="{0A8FD0A2-1761-4F5D-BC0C-90050D262D2B}"/>
    <cellStyle name="Calculation 5" xfId="36" xr:uid="{D04B3E02-5075-4D6E-940A-C11B2486A75B}"/>
    <cellStyle name="Check Cell 2" xfId="89" xr:uid="{3A766D01-A652-4C4E-868F-270DD49B5C1C}"/>
    <cellStyle name="Check Cell 3" xfId="133" xr:uid="{DCBCF44E-9670-4FDF-AFB5-CB6E313365F7}"/>
    <cellStyle name="Check Cell 4" xfId="181" xr:uid="{3FF595F8-2AEB-4AA1-ABD7-5AA41FDC57B1}"/>
    <cellStyle name="Check Cell 5" xfId="37" xr:uid="{408E6B03-4D31-432A-9766-EA369E94F9DA}"/>
    <cellStyle name="Comma 2" xfId="5" xr:uid="{C476D05D-AEAD-4EE9-9504-1B8C6EDD2840}"/>
    <cellStyle name="Comma 2 2" xfId="54" xr:uid="{A9687237-F6C1-4600-94B8-6E1A0CBA6521}"/>
    <cellStyle name="Comma 3" xfId="105" xr:uid="{69144309-9CEE-45DC-8EA2-96B2902E4160}"/>
    <cellStyle name="Comma 4" xfId="134" xr:uid="{6149D204-F79F-4C6E-87FD-54A18AF8A83A}"/>
    <cellStyle name="Comma 5" xfId="196" xr:uid="{1F69AA05-3703-4AB3-9D10-72771856FA81}"/>
    <cellStyle name="Comma 6" xfId="59" xr:uid="{E12E68F3-6C7A-4B06-BD07-67D5DF8CD3F7}"/>
    <cellStyle name="Comma 7" xfId="206" xr:uid="{BC12D41B-99C6-417F-93B3-FBC202F78216}"/>
    <cellStyle name="Explanatory Text 2" xfId="90" xr:uid="{418F5DF2-EA3D-402F-B9B1-D15F3E620342}"/>
    <cellStyle name="Explanatory Text 3" xfId="135" xr:uid="{8B3D9720-D277-43B4-AA07-D4CD523783D1}"/>
    <cellStyle name="Explanatory Text 4" xfId="182" xr:uid="{4042AB01-0FE3-4276-833E-D7C54E9D6B32}"/>
    <cellStyle name="Explanatory Text 5" xfId="38" xr:uid="{9103B5F0-D903-4863-9E61-31A6B651EF17}"/>
    <cellStyle name="Good 2" xfId="91" xr:uid="{C2952495-EE5E-4A25-A0D2-5280879F05EE}"/>
    <cellStyle name="Good 3" xfId="136" xr:uid="{D3D4B83D-5E74-4148-A842-40954FEE2818}"/>
    <cellStyle name="Good 4" xfId="183" xr:uid="{D37A3AC7-B00A-4517-9C71-3F81CCCEC6A6}"/>
    <cellStyle name="Good 5" xfId="39" xr:uid="{5055B352-34B4-48BE-AE68-C85304C889A7}"/>
    <cellStyle name="Heading 1 2" xfId="92" xr:uid="{756D9C74-078B-4018-A9BE-A3A81633F9B5}"/>
    <cellStyle name="Heading 1 3" xfId="137" xr:uid="{393195F9-15A5-4454-B091-546A3CAB56CE}"/>
    <cellStyle name="Heading 1 4" xfId="184" xr:uid="{59953BE1-3B59-4524-B56E-48EEE62588F6}"/>
    <cellStyle name="Heading 1 5" xfId="40" xr:uid="{7A9E8D78-6253-46CD-BF55-7363ECC19A34}"/>
    <cellStyle name="Heading 2 2" xfId="93" xr:uid="{919C91C1-A68C-47BE-AE44-B50CEFA8FB96}"/>
    <cellStyle name="Heading 2 3" xfId="138" xr:uid="{6E29D6DA-25F2-4D01-80B7-DF66C07F9941}"/>
    <cellStyle name="Heading 2 4" xfId="185" xr:uid="{5D1E1424-B05A-4442-840E-0EB193D2B706}"/>
    <cellStyle name="Heading 2 5" xfId="41" xr:uid="{68306067-D63C-4564-90A8-A90099A60BC4}"/>
    <cellStyle name="Heading 3 2" xfId="94" xr:uid="{C649D196-0A61-4FA9-9E43-9F14039EA0B4}"/>
    <cellStyle name="Heading 3 3" xfId="139" xr:uid="{C50B5384-6089-44BC-8390-0642DE5889D2}"/>
    <cellStyle name="Heading 3 4" xfId="186" xr:uid="{4B5B48BC-5C69-4C9F-A768-61A1FD48C059}"/>
    <cellStyle name="Heading 3 5" xfId="42" xr:uid="{45760A2F-75F5-4766-B9AB-23649A8D354F}"/>
    <cellStyle name="Heading 4 2" xfId="95" xr:uid="{39C109F7-875C-481A-9503-ADCD59D1C85C}"/>
    <cellStyle name="Heading 4 3" xfId="140" xr:uid="{DC29B30D-5CE4-49C1-898F-020A66343979}"/>
    <cellStyle name="Heading 4 4" xfId="187" xr:uid="{E8E59A51-530A-4B0F-85D4-80AB2BE70A40}"/>
    <cellStyle name="Heading 4 5" xfId="43" xr:uid="{5BC5DCAF-0DA2-49CC-903A-F3F33C264B79}"/>
    <cellStyle name="Hyperlink" xfId="2" builtinId="8"/>
    <cellStyle name="Hyperlink 2" xfId="104" xr:uid="{5D6DEE7B-84D1-4D80-8C44-61216ED8E718}"/>
    <cellStyle name="Hyperlink 3" xfId="61" xr:uid="{3A60379E-BC3D-46FF-963D-6F9A555D29FD}"/>
    <cellStyle name="Hyperlink 4" xfId="55" xr:uid="{1F628157-77AF-439B-8B4F-5906D8484ACD}"/>
    <cellStyle name="Input 2" xfId="96" xr:uid="{46F3D35B-CEE8-48D6-9686-B55E379842F6}"/>
    <cellStyle name="Input 3" xfId="141" xr:uid="{21ABEC25-BBF2-4D2D-A44B-93E270C22C5B}"/>
    <cellStyle name="Input 4" xfId="188" xr:uid="{5F6554E9-347F-453F-8FB7-6041F582FA84}"/>
    <cellStyle name="Input 5" xfId="44" xr:uid="{87FC33DA-8BAB-4F06-B6EE-0CF1B0644E2F}"/>
    <cellStyle name="Linked Cell 2" xfId="97" xr:uid="{CEB62854-BB1F-4717-BFF1-C92F2E7CFF96}"/>
    <cellStyle name="Linked Cell 3" xfId="142" xr:uid="{75504AF3-A1A0-45DF-B1B1-7766843DBCE9}"/>
    <cellStyle name="Linked Cell 4" xfId="189" xr:uid="{56D1B0A5-135C-4521-970D-FC7B7D5F4C21}"/>
    <cellStyle name="Linked Cell 5" xfId="45" xr:uid="{61A53114-0307-45CE-AC8B-A1C74BE80919}"/>
    <cellStyle name="Neutral 2" xfId="98" xr:uid="{9E563414-F231-40A7-8376-0E4763F53657}"/>
    <cellStyle name="Neutral 3" xfId="143" xr:uid="{CB9F5181-4ED6-42A4-B974-CA3622C64429}"/>
    <cellStyle name="Neutral 4" xfId="190" xr:uid="{71794DC8-283D-41A5-BB8F-7CDFC668749A}"/>
    <cellStyle name="Neutral 5" xfId="46" xr:uid="{7D5E5FA0-2C9A-4FCF-802F-7240F9FB3A26}"/>
    <cellStyle name="Normal" xfId="0" builtinId="0"/>
    <cellStyle name="Normal 10" xfId="200" xr:uid="{1B7812BD-936C-4722-9D93-9AE3550E4949}"/>
    <cellStyle name="Normal 11" xfId="153" xr:uid="{09A3E06F-DFB9-4043-A062-8387E2096FE0}"/>
    <cellStyle name="Normal 11 2" xfId="202" xr:uid="{DE45F688-E5C1-44EE-809E-E0652D091230}"/>
    <cellStyle name="Normal 12" xfId="10" xr:uid="{682C61FA-D929-410E-AF86-F0757A84CA08}"/>
    <cellStyle name="Normal 13" xfId="9" xr:uid="{B0595F3A-EE83-4FCF-97CC-D04D3AED3561}"/>
    <cellStyle name="Normal 14" xfId="204" xr:uid="{9AE13695-AC83-47D9-B015-189E6B70C7B8}"/>
    <cellStyle name="Normal 2" xfId="3" xr:uid="{1FEA7F47-3741-4F6F-9290-16FC2D75AB95}"/>
    <cellStyle name="Normal 2 2" xfId="7" xr:uid="{C8412027-38C6-400D-9A6F-C1209B880FBF}"/>
    <cellStyle name="Normal 2 2 2" xfId="106" xr:uid="{56E91962-C5D9-4D04-BBAE-154F604C99C2}"/>
    <cellStyle name="Normal 2 3" xfId="47" xr:uid="{206B0EB8-2DCA-456F-A09C-2767362D536A}"/>
    <cellStyle name="Normal 2 4" xfId="6" xr:uid="{F15F100E-C030-4DAD-AC79-6EA56237CCEC}"/>
    <cellStyle name="Normal 2_Invest" xfId="144" xr:uid="{B8A1266E-9C87-4581-8CB5-468A4BF12D2D}"/>
    <cellStyle name="Normal 3" xfId="57" xr:uid="{476D03E5-71CE-478A-9ED4-3912FF042900}"/>
    <cellStyle name="Normal 4" xfId="56" xr:uid="{2BDE061C-202D-4590-8518-C2D4ADE28354}"/>
    <cellStyle name="Normal 4 2" xfId="8" xr:uid="{DB8C8088-E45D-4A0C-87F2-87D41B31E47A}"/>
    <cellStyle name="Normal 4 2 2" xfId="58" xr:uid="{4C25DEAB-1586-48F8-97E7-D5055576C079}"/>
    <cellStyle name="Normal 4_Invest" xfId="145" xr:uid="{E7C620F2-BEF1-44CB-98A7-610F6574B15E}"/>
    <cellStyle name="Normal 5" xfId="62" xr:uid="{023C54BC-161E-4B1E-A74D-FC9108C689E5}"/>
    <cellStyle name="Normal 6" xfId="60" xr:uid="{EC1B8127-51FA-4671-8B89-945840B3AEB1}"/>
    <cellStyle name="Normal 6 2" xfId="198" xr:uid="{4178027D-4FC6-4620-A2F1-B293958E309B}"/>
    <cellStyle name="Normal 6 2 2" xfId="203" xr:uid="{C58431E8-4D76-4615-96B4-3EEE03013211}"/>
    <cellStyle name="Normal 6 3" xfId="201" xr:uid="{DF1097B1-4831-43F5-9BD4-E2B9A7C91ECF}"/>
    <cellStyle name="Normal 7" xfId="146" xr:uid="{D66FB088-5760-4DB1-97E6-B27BDC0BF978}"/>
    <cellStyle name="Normal 8" xfId="154" xr:uid="{C15F83CE-8949-49CD-88A0-B495AFA7AC28}"/>
    <cellStyle name="Normal 9" xfId="197" xr:uid="{42B828F0-273F-4961-8A9F-16933C25D17D}"/>
    <cellStyle name="Note 2" xfId="53" xr:uid="{A3E6C37A-EEDB-424D-BBEC-C04417F61C43}"/>
    <cellStyle name="Note 3" xfId="99" xr:uid="{2226E364-7C95-41AC-B56B-9DEC4436FA06}"/>
    <cellStyle name="Note 4" xfId="147" xr:uid="{14760C38-9617-4EA0-B759-F8CDDA4C76FC}"/>
    <cellStyle name="Note 5" xfId="191" xr:uid="{8CC956DB-059A-42E6-8A77-E95F0F40E5E5}"/>
    <cellStyle name="Note 6" xfId="48" xr:uid="{938A5418-41F2-4ADA-8865-8E881FDD5B55}"/>
    <cellStyle name="Output 2" xfId="100" xr:uid="{DAD7318A-DABD-4EBB-BC67-424B0B179B7D}"/>
    <cellStyle name="Output 3" xfId="148" xr:uid="{31358E9D-81DF-4D4D-8114-3F66251EAE56}"/>
    <cellStyle name="Output 4" xfId="192" xr:uid="{9EABA43C-3454-44F0-913B-F1C495532C82}"/>
    <cellStyle name="Output 5" xfId="49" xr:uid="{562FFB80-2689-499F-83EC-A10405AD4B52}"/>
    <cellStyle name="Percent" xfId="1" builtinId="5"/>
    <cellStyle name="Percent 2" xfId="4" xr:uid="{BC15FDCC-C455-436C-A753-41569141D7CB}"/>
    <cellStyle name="Percent 3" xfId="199" xr:uid="{C628B825-8CE6-4153-BB5C-779969241017}"/>
    <cellStyle name="Percent 4" xfId="152" xr:uid="{4638CECE-FE74-47D6-A846-C8E6833D78D0}"/>
    <cellStyle name="Percent 5" xfId="205" xr:uid="{39F57790-027E-4C84-8B70-087A27342436}"/>
    <cellStyle name="Title 2" xfId="101" xr:uid="{7DCB742A-38C2-4A6E-896D-718122DF17BB}"/>
    <cellStyle name="Title 3" xfId="149" xr:uid="{BC9F401B-1E57-4402-AB92-38E7812261AE}"/>
    <cellStyle name="Title 4" xfId="193" xr:uid="{EA9F2D23-EE73-4F74-A85F-447025EBAE3F}"/>
    <cellStyle name="Title 5" xfId="50" xr:uid="{2D495F04-1B9C-4467-A1CF-BF788A090DAB}"/>
    <cellStyle name="Total 2" xfId="102" xr:uid="{148E7F0D-04F3-44FA-AA6A-9F6784B09FE1}"/>
    <cellStyle name="Total 3" xfId="150" xr:uid="{9BCCCDF2-6E7E-4065-AE18-2742186E250D}"/>
    <cellStyle name="Total 4" xfId="194" xr:uid="{76366743-B0D9-4ADD-9C15-13DC844E7FB2}"/>
    <cellStyle name="Total 5" xfId="51" xr:uid="{A848BD2E-8397-4CAD-B6F2-2BBD14A9914D}"/>
    <cellStyle name="Warning Text 2" xfId="103" xr:uid="{1B2DCFF8-96DB-4E1F-A211-5805BF29CF34}"/>
    <cellStyle name="Warning Text 3" xfId="151" xr:uid="{D5DB55D8-97C5-4635-9153-EF079F3F56BF}"/>
    <cellStyle name="Warning Text 4" xfId="195" xr:uid="{F2DB6994-3036-48D9-93BA-E07644FBA7C3}"/>
    <cellStyle name="Warning Text 5" xfId="52" xr:uid="{4742A5E6-A606-4A74-AC33-DCB26C85F6F6}"/>
  </cellStyles>
  <dxfs count="78">
    <dxf>
      <font>
        <color rgb="FF9C0006"/>
      </font>
      <fill>
        <patternFill>
          <bgColor rgb="FFFFC7CE"/>
        </patternFill>
      </fill>
    </dxf>
    <dxf>
      <font>
        <color rgb="FF006100"/>
      </font>
      <fill>
        <patternFill>
          <bgColor rgb="FFC6EFCE"/>
        </patternFill>
      </fill>
    </dxf>
    <dxf>
      <font>
        <color theme="9" tint="-0.499984740745262"/>
      </font>
      <fill>
        <patternFill>
          <bgColor theme="9"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vertical="center" textRotation="0" indent="0" justifyLastLine="0" shrinkToFit="0" readingOrder="0"/>
    </dxf>
    <dxf>
      <alignment vertical="center" textRotation="0" indent="0" justifyLastLine="0" shrinkToFit="0" readingOrder="0"/>
    </dxf>
    <dxf>
      <fill>
        <patternFill patternType="none">
          <fgColor indexed="64"/>
          <bgColor indexed="65"/>
        </patternFill>
      </fill>
      <alignment vertical="center" textRotation="0" indent="0" justifyLastLine="0" shrinkToFit="0" readingOrder="0"/>
    </dxf>
    <dxf>
      <border outline="0">
        <top style="thin">
          <color theme="4" tint="0.39997558519241921"/>
        </top>
      </border>
    </dxf>
    <dxf>
      <alignment vertical="center" textRotation="0" indent="0" justifyLastLine="0" shrinkToFit="0" readingOrder="0"/>
    </dxf>
    <dxf>
      <border outline="0">
        <bottom style="thin">
          <color theme="4" tint="0.39997558519241921"/>
        </bottom>
      </border>
    </dxf>
    <dxf>
      <alignment vertic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vertical="center" textRotation="0" indent="0" justifyLastLine="0" shrinkToFit="0" readingOrder="0"/>
    </dxf>
    <dxf>
      <font>
        <strike val="0"/>
        <outline val="0"/>
        <shadow val="0"/>
        <u val="none"/>
        <vertAlign val="baseline"/>
        <sz val="11"/>
        <color theme="0"/>
        <name val="Calibri"/>
        <family val="2"/>
        <scheme val="minor"/>
      </font>
      <alignmen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vertical="center" textRotation="0" indent="0" justifyLastLine="0" shrinkToFit="0" readingOrder="0"/>
    </dxf>
    <dxf>
      <fill>
        <patternFill patternType="none">
          <fgColor indexed="64"/>
          <bgColor indexed="65"/>
        </patternFill>
      </fill>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dxf>
    <dxf>
      <fill>
        <patternFill patternType="none">
          <bgColor auto="1"/>
        </patternFill>
      </fill>
      <alignment horizontal="center" vertical="center" textRotation="0" indent="0" justifyLastLine="0" shrinkToFit="0" readingOrder="0"/>
    </dxf>
    <dxf>
      <fill>
        <patternFill patternType="none">
          <fgColor indexed="64"/>
          <bgColor indexed="65"/>
        </patternFill>
      </fill>
    </dxf>
    <dxf>
      <fill>
        <patternFill patternType="none">
          <bgColor auto="1"/>
        </patternFill>
      </fill>
      <alignment horizontal="center" vertical="center" textRotation="0" indent="0" justifyLastLine="0" shrinkToFit="0" readingOrder="0"/>
    </dxf>
    <dxf>
      <fill>
        <patternFill patternType="none">
          <fgColor indexed="64"/>
          <bgColor indexed="65"/>
        </patternFill>
      </fill>
    </dxf>
    <dxf>
      <fill>
        <patternFill patternType="none">
          <bgColor auto="1"/>
        </patternFill>
      </fill>
      <alignment vertical="center" textRotation="0" indent="0" justifyLastLine="0" shrinkToFit="0" readingOrder="0"/>
    </dxf>
    <dxf>
      <fill>
        <patternFill patternType="none">
          <fgColor indexed="64"/>
          <bgColor indexed="65"/>
        </patternFill>
      </fill>
    </dxf>
    <dxf>
      <fill>
        <patternFill patternType="none">
          <bgColor auto="1"/>
        </patternFill>
      </fill>
      <alignment vertical="center" textRotation="0" indent="0" justifyLastLine="0" shrinkToFit="0" readingOrder="0"/>
    </dxf>
    <dxf>
      <fill>
        <patternFill patternType="none">
          <fgColor indexed="64"/>
          <bgColor indexed="65"/>
        </patternFill>
      </fill>
    </dxf>
    <dxf>
      <fill>
        <patternFill patternType="none">
          <bgColor auto="1"/>
        </patternFill>
      </fill>
      <alignment vertical="center" textRotation="0" indent="0" justifyLastLine="0" shrinkToFit="0" readingOrder="0"/>
    </dxf>
    <dxf>
      <alignment vertical="center" textRotation="0" indent="0" justifyLastLine="0" shrinkToFit="0" readingOrder="0"/>
    </dxf>
    <dxf>
      <fill>
        <patternFill patternType="none">
          <bgColor auto="1"/>
        </patternFill>
      </fill>
      <alignment vertical="center" textRotation="0" indent="0" justifyLastLine="0" shrinkToFit="0" readingOrder="0"/>
    </dxf>
    <dxf>
      <fill>
        <patternFill patternType="none">
          <bgColor auto="1"/>
        </patternFill>
      </fill>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D9F1FF"/>
      <color rgb="FFF0FFD5"/>
      <color rgb="FFFCF600"/>
      <color rgb="FFFB513F"/>
      <color rgb="FFFFFF89"/>
      <color rgb="FFE3DE00"/>
      <color rgb="FFFFD653"/>
      <color rgb="FFFC7D70"/>
      <color rgb="FFFFEEB7"/>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IN" sz="1800"/>
              <a:t>Annual</a:t>
            </a:r>
            <a:r>
              <a:rPr lang="en-IN" sz="1800" baseline="0"/>
              <a:t> GHG Reporting</a:t>
            </a:r>
          </a:p>
        </c:rich>
      </c:tx>
      <c:layout>
        <c:manualLayout>
          <c:xMode val="edge"/>
          <c:yMode val="edge"/>
          <c:x val="0.32377464698454433"/>
          <c:y val="3.3344938125358881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2067804356074332"/>
          <c:y val="0.15016527338156349"/>
          <c:w val="0.74534094445557597"/>
          <c:h val="0.68806635205767364"/>
        </c:manualLayout>
      </c:layout>
      <c:barChart>
        <c:barDir val="col"/>
        <c:grouping val="clustered"/>
        <c:varyColors val="0"/>
        <c:ser>
          <c:idx val="1"/>
          <c:order val="0"/>
          <c:tx>
            <c:strRef>
              <c:f>'GHG Impact - Annual'!$D$15</c:f>
              <c:strCache>
                <c:ptCount val="1"/>
                <c:pt idx="0">
                  <c:v>GHG (CO₂ eq) Emissions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'GHG Impact - Annual'!$B$16</c:f>
              <c:strCache>
                <c:ptCount val="1"/>
                <c:pt idx="0">
                  <c:v>Total Project Level Emissions</c:v>
                </c:pt>
              </c:strCache>
            </c:strRef>
          </c:cat>
          <c:val>
            <c:numRef>
              <c:f>'GHG Impact - Annual'!$D$16</c:f>
              <c:numCache>
                <c:formatCode>0.000</c:formatCode>
                <c:ptCount val="1"/>
                <c:pt idx="0">
                  <c:v>0</c:v>
                </c:pt>
              </c:numCache>
            </c:numRef>
          </c:val>
          <c:extLst>
            <c:ext xmlns:c16="http://schemas.microsoft.com/office/drawing/2014/chart" uri="{C3380CC4-5D6E-409C-BE32-E72D297353CC}">
              <c16:uniqueId val="{00000003-40C0-4742-A1AA-A5D4FCE72FE1}"/>
            </c:ext>
          </c:extLst>
        </c:ser>
        <c:dLbls>
          <c:dLblPos val="outEnd"/>
          <c:showLegendKey val="0"/>
          <c:showVal val="1"/>
          <c:showCatName val="0"/>
          <c:showSerName val="0"/>
          <c:showPercent val="0"/>
          <c:showBubbleSize val="0"/>
        </c:dLbls>
        <c:gapWidth val="219"/>
        <c:overlap val="-27"/>
        <c:axId val="1791298463"/>
        <c:axId val="1791276383"/>
      </c:barChart>
      <c:catAx>
        <c:axId val="1791298463"/>
        <c:scaling>
          <c:orientation val="minMax"/>
        </c:scaling>
        <c:delete val="1"/>
        <c:axPos val="b"/>
        <c:title>
          <c:tx>
            <c:rich>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sz="1400"/>
                  <a:t>Annual GHG</a:t>
                </a:r>
                <a:r>
                  <a:rPr lang="en-IN" sz="1400" baseline="0"/>
                  <a:t> emissions</a:t>
                </a:r>
              </a:p>
            </c:rich>
          </c:tx>
          <c:layout>
            <c:manualLayout>
              <c:xMode val="edge"/>
              <c:yMode val="edge"/>
              <c:x val="0.36865911522835498"/>
              <c:y val="0.8771999785950521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crossAx val="1791276383"/>
        <c:crosses val="autoZero"/>
        <c:auto val="1"/>
        <c:lblAlgn val="ctr"/>
        <c:lblOffset val="100"/>
        <c:noMultiLvlLbl val="0"/>
      </c:catAx>
      <c:valAx>
        <c:axId val="1791276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sz="1400"/>
                  <a:t>GHG (CO₂ eq) Emissions</a:t>
                </a:r>
              </a:p>
            </c:rich>
          </c:tx>
          <c:layout>
            <c:manualLayout>
              <c:xMode val="edge"/>
              <c:yMode val="edge"/>
              <c:x val="2.6655404395836964E-2"/>
              <c:y val="0.3078034367839181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91298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Baseline Scenario - Impact Breakdown</a:t>
            </a:r>
          </a:p>
        </c:rich>
      </c:tx>
      <c:layout>
        <c:manualLayout>
          <c:xMode val="edge"/>
          <c:yMode val="edge"/>
          <c:x val="0.37167069548063031"/>
          <c:y val="2.848882005086904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2663319141403864"/>
          <c:y val="0.1094396820860772"/>
          <c:w val="0.82691545447350323"/>
          <c:h val="0.57805310613775807"/>
        </c:manualLayout>
      </c:layout>
      <c:barChart>
        <c:barDir val="col"/>
        <c:grouping val="clustered"/>
        <c:varyColors val="0"/>
        <c:ser>
          <c:idx val="0"/>
          <c:order val="0"/>
          <c:tx>
            <c:strRef>
              <c:f>'GHG Impact - Baseline-Project'!$D$59</c:f>
              <c:strCache>
                <c:ptCount val="1"/>
                <c:pt idx="0">
                  <c:v>GHG (CO₂ eq) Emissions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'GHG Impact - Baseline-Project'!$B$60:$C$80</c15:sqref>
                  </c15:fullRef>
                </c:ext>
              </c:extLst>
              <c:f>('GHG Impact - Baseline-Project'!$B$60:$C$63,'GHG Impact - Baseline-Project'!$B$68:$C$70,'GHG Impact - Baseline-Project'!$B$74:$C$75,'GHG Impact - Baseline-Project'!$B$79:$C$80)</c:f>
              <c:multiLvlStrCache>
                <c:ptCount val="11"/>
                <c:lvl>
                  <c:pt idx="0">
                    <c:v>Raw Material Extraction Used</c:v>
                  </c:pt>
                  <c:pt idx="1">
                    <c:v>Water Used - Select Water Type</c:v>
                  </c:pt>
                  <c:pt idx="2">
                    <c:v>Total</c:v>
                  </c:pt>
                  <c:pt idx="3">
                    <c:v>Select Power Source - 0%</c:v>
                  </c:pt>
                  <c:pt idx="4">
                    <c:v>Total</c:v>
                  </c:pt>
                  <c:pt idx="5">
                    <c:v>RM Sourcing Select Vehicle Type - Select Fuel Type</c:v>
                  </c:pt>
                  <c:pt idx="6">
                    <c:v>Product Distribution to Suppliers - 0 0 Select Vehicle Type - Select Fuel Type</c:v>
                  </c:pt>
                  <c:pt idx="7">
                    <c:v>Total</c:v>
                  </c:pt>
                  <c:pt idx="8">
                    <c:v>Select Treatment Process - 0%</c:v>
                  </c:pt>
                  <c:pt idx="9">
                    <c:v>Total</c:v>
                  </c:pt>
                </c:lvl>
                <c:lvl>
                  <c:pt idx="0">
                    <c:v>Raw Material Extraction Phase</c:v>
                  </c:pt>
                  <c:pt idx="3">
                    <c:v>Manufacturing Phase</c:v>
                  </c:pt>
                  <c:pt idx="5">
                    <c:v>Transportation Phase </c:v>
                  </c:pt>
                  <c:pt idx="8">
                    <c:v>End-of-Life (EoL) Phase </c:v>
                  </c:pt>
                  <c:pt idx="10">
                    <c:v>Total Project Level Emissions</c:v>
                  </c:pt>
                </c:lvl>
              </c:multiLvlStrCache>
            </c:multiLvlStrRef>
          </c:cat>
          <c:val>
            <c:numRef>
              <c:extLst>
                <c:ext xmlns:c15="http://schemas.microsoft.com/office/drawing/2012/chart" uri="{02D57815-91ED-43cb-92C2-25804820EDAC}">
                  <c15:fullRef>
                    <c15:sqref>'GHG Impact - Baseline-Project'!$D$60:$D$80</c15:sqref>
                  </c15:fullRef>
                </c:ext>
              </c:extLst>
              <c:f>('GHG Impact - Baseline-Project'!$D$60:$D$63,'GHG Impact - Baseline-Project'!$D$68:$D$70,'GHG Impact - Baseline-Project'!$D$74:$D$75,'GHG Impact - Baseline-Project'!$D$79:$D$80)</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312-46E6-B95B-E1944D83B24D}"/>
            </c:ext>
          </c:extLst>
        </c:ser>
        <c:dLbls>
          <c:dLblPos val="outEnd"/>
          <c:showLegendKey val="0"/>
          <c:showVal val="1"/>
          <c:showCatName val="0"/>
          <c:showSerName val="0"/>
          <c:showPercent val="0"/>
          <c:showBubbleSize val="0"/>
        </c:dLbls>
        <c:gapWidth val="219"/>
        <c:overlap val="-27"/>
        <c:axId val="82331455"/>
        <c:axId val="82334335"/>
      </c:barChart>
      <c:catAx>
        <c:axId val="823314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Life Cycle Phases and its Sub-category</a:t>
                </a:r>
              </a:p>
            </c:rich>
          </c:tx>
          <c:layout>
            <c:manualLayout>
              <c:xMode val="edge"/>
              <c:yMode val="edge"/>
              <c:x val="0.40932870187541809"/>
              <c:y val="0.93856442387843109"/>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0" cap="flat" cmpd="sng" algn="ctr">
            <a:solidFill>
              <a:schemeClr val="tx1">
                <a:lumMod val="15000"/>
                <a:lumOff val="85000"/>
              </a:schemeClr>
            </a:solidFill>
            <a:round/>
          </a:ln>
          <a:effectLst/>
        </c:spPr>
        <c:txPr>
          <a:bodyPr rot="0" spcFirstLastPara="1" vertOverflow="ellipsis" wrap="square" anchor="t" anchorCtr="1"/>
          <a:lstStyle/>
          <a:p>
            <a:pPr>
              <a:defRPr sz="1400" b="0" i="0" u="none" strike="noStrike" kern="1200" baseline="0">
                <a:ln>
                  <a:noFill/>
                </a:ln>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4335"/>
        <c:crosses val="autoZero"/>
        <c:auto val="0"/>
        <c:lblAlgn val="ctr"/>
        <c:lblOffset val="100"/>
        <c:noMultiLvlLbl val="0"/>
      </c:catAx>
      <c:valAx>
        <c:axId val="82334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GHG (CO₂ eq) Emissions</a:t>
                </a:r>
              </a:p>
            </c:rich>
          </c:tx>
          <c:layout>
            <c:manualLayout>
              <c:xMode val="edge"/>
              <c:yMode val="edge"/>
              <c:x val="1.7758812909046295E-2"/>
              <c:y val="0.2928599615074733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1455"/>
        <c:crosses val="autoZero"/>
        <c:crossBetween val="between"/>
      </c:valAx>
      <c:spPr>
        <a:noFill/>
        <a:ln>
          <a:solidFill>
            <a:schemeClr val="tx1">
              <a:lumMod val="5000"/>
              <a:lumOff val="95000"/>
              <a:alpha val="9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0" anchor="t" anchorCtr="1"/>
    <a:lstStyle/>
    <a:p>
      <a:pPr>
        <a:defRPr sz="16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Baseline Scenario - Impact Breakdown</a:t>
            </a:r>
          </a:p>
        </c:rich>
      </c:tx>
      <c:layout>
        <c:manualLayout>
          <c:xMode val="edge"/>
          <c:yMode val="edge"/>
          <c:x val="0.37167069548063031"/>
          <c:y val="2.848882005086904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2663319141403864"/>
          <c:y val="0.1094396820860772"/>
          <c:w val="0.82691545447350323"/>
          <c:h val="0.53990036345000281"/>
        </c:manualLayout>
      </c:layout>
      <c:barChart>
        <c:barDir val="col"/>
        <c:grouping val="clustered"/>
        <c:varyColors val="0"/>
        <c:ser>
          <c:idx val="0"/>
          <c:order val="0"/>
          <c:tx>
            <c:strRef>
              <c:f>'GHG Impact - Baseline-Project'!$D$36</c:f>
              <c:strCache>
                <c:ptCount val="1"/>
                <c:pt idx="0">
                  <c:v>GHG (CO₂ eq) Emissions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'GHG Impact - Baseline-Project'!$B$37:$C$57</c15:sqref>
                  </c15:fullRef>
                </c:ext>
              </c:extLst>
              <c:f>('GHG Impact - Baseline-Project'!$B$37:$C$40,'GHG Impact - Baseline-Project'!$B$45:$C$47,'GHG Impact - Baseline-Project'!$B$51:$C$52,'GHG Impact - Baseline-Project'!$B$56:$C$57)</c:f>
              <c:multiLvlStrCache>
                <c:ptCount val="11"/>
                <c:lvl>
                  <c:pt idx="0">
                    <c:v>Raw Material Extraction Used</c:v>
                  </c:pt>
                  <c:pt idx="1">
                    <c:v>Water Used - Select Water Type</c:v>
                  </c:pt>
                  <c:pt idx="2">
                    <c:v>Total</c:v>
                  </c:pt>
                  <c:pt idx="3">
                    <c:v>Select Power Source - 0%</c:v>
                  </c:pt>
                  <c:pt idx="4">
                    <c:v>Total</c:v>
                  </c:pt>
                  <c:pt idx="5">
                    <c:v>RM Sourcing - Select Vehicle Type - Select Fuel Type</c:v>
                  </c:pt>
                  <c:pt idx="6">
                    <c:v>Product Distribution to Suppliers - 0 0 - Select Vehicle Type - Select Fuel Type</c:v>
                  </c:pt>
                  <c:pt idx="7">
                    <c:v>Total</c:v>
                  </c:pt>
                  <c:pt idx="8">
                    <c:v>Select Treatment Process - 0%</c:v>
                  </c:pt>
                  <c:pt idx="9">
                    <c:v>Total</c:v>
                  </c:pt>
                </c:lvl>
                <c:lvl>
                  <c:pt idx="0">
                    <c:v>Raw Material Extraction Phase</c:v>
                  </c:pt>
                  <c:pt idx="3">
                    <c:v>Manufacturing Phase</c:v>
                  </c:pt>
                  <c:pt idx="5">
                    <c:v>Transportation Phase </c:v>
                  </c:pt>
                  <c:pt idx="8">
                    <c:v>End-of-Life (EoL) Phase </c:v>
                  </c:pt>
                  <c:pt idx="10">
                    <c:v>Total Baseline Emissions</c:v>
                  </c:pt>
                </c:lvl>
              </c:multiLvlStrCache>
            </c:multiLvlStrRef>
          </c:cat>
          <c:val>
            <c:numRef>
              <c:extLst>
                <c:ext xmlns:c15="http://schemas.microsoft.com/office/drawing/2012/chart" uri="{02D57815-91ED-43cb-92C2-25804820EDAC}">
                  <c15:fullRef>
                    <c15:sqref>'GHG Impact - Baseline-Project'!$D$37:$D$57</c15:sqref>
                  </c15:fullRef>
                </c:ext>
              </c:extLst>
              <c:f>('GHG Impact - Baseline-Project'!$D$37:$D$40,'GHG Impact - Baseline-Project'!$D$45:$D$47,'GHG Impact - Baseline-Project'!$D$51:$D$52,'GHG Impact - Baseline-Project'!$D$56:$D$57)</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163-42C0-83BD-3A5ED3F450F9}"/>
            </c:ext>
          </c:extLst>
        </c:ser>
        <c:dLbls>
          <c:dLblPos val="outEnd"/>
          <c:showLegendKey val="0"/>
          <c:showVal val="1"/>
          <c:showCatName val="0"/>
          <c:showSerName val="0"/>
          <c:showPercent val="0"/>
          <c:showBubbleSize val="0"/>
        </c:dLbls>
        <c:gapWidth val="219"/>
        <c:overlap val="-27"/>
        <c:axId val="82331455"/>
        <c:axId val="82334335"/>
      </c:barChart>
      <c:catAx>
        <c:axId val="823314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Life Cycle Phases and its Sub-category</a:t>
                </a:r>
              </a:p>
            </c:rich>
          </c:tx>
          <c:layout>
            <c:manualLayout>
              <c:xMode val="edge"/>
              <c:yMode val="edge"/>
              <c:x val="0.40932870187541809"/>
              <c:y val="0.93856442387843109"/>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0" cap="flat" cmpd="sng" algn="ctr">
            <a:solidFill>
              <a:schemeClr val="tx1">
                <a:lumMod val="15000"/>
                <a:lumOff val="85000"/>
              </a:schemeClr>
            </a:solidFill>
            <a:round/>
          </a:ln>
          <a:effectLst/>
        </c:spPr>
        <c:txPr>
          <a:bodyPr rot="0" spcFirstLastPara="1" vertOverflow="ellipsis" wrap="square" anchor="t" anchorCtr="1"/>
          <a:lstStyle/>
          <a:p>
            <a:pPr>
              <a:defRPr sz="1400" b="0" i="0" u="none" strike="noStrike" kern="1200" baseline="0">
                <a:ln>
                  <a:noFill/>
                </a:ln>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4335"/>
        <c:crossesAt val="0"/>
        <c:auto val="0"/>
        <c:lblAlgn val="ctr"/>
        <c:lblOffset val="100"/>
        <c:noMultiLvlLbl val="0"/>
      </c:catAx>
      <c:valAx>
        <c:axId val="8233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GHG (CO₂ eq) Emissions</a:t>
                </a:r>
              </a:p>
            </c:rich>
          </c:tx>
          <c:layout>
            <c:manualLayout>
              <c:xMode val="edge"/>
              <c:yMode val="edge"/>
              <c:x val="1.7758812909046295E-2"/>
              <c:y val="0.2928599615074733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1455"/>
        <c:crosses val="autoZero"/>
        <c:crossBetween val="between"/>
      </c:valAx>
      <c:spPr>
        <a:noFill/>
        <a:ln>
          <a:solidFill>
            <a:schemeClr val="tx1">
              <a:lumMod val="5000"/>
              <a:lumOff val="95000"/>
              <a:alpha val="9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0" anchor="t" anchorCtr="1"/>
    <a:lstStyle/>
    <a:p>
      <a:pPr>
        <a:defRPr sz="16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Project Level Scenario - Impact Breakdown</a:t>
            </a:r>
          </a:p>
        </c:rich>
      </c:tx>
      <c:layout>
        <c:manualLayout>
          <c:xMode val="edge"/>
          <c:yMode val="edge"/>
          <c:x val="0.37167069548063031"/>
          <c:y val="2.848882005086904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0470959694394638"/>
          <c:y val="0.1094396820860772"/>
          <c:w val="0.84883905600908782"/>
          <c:h val="0.53362719456887686"/>
        </c:manualLayout>
      </c:layout>
      <c:barChart>
        <c:barDir val="col"/>
        <c:grouping val="clustered"/>
        <c:varyColors val="0"/>
        <c:ser>
          <c:idx val="0"/>
          <c:order val="0"/>
          <c:tx>
            <c:strRef>
              <c:f>'GHG Impact - Baseline-Project'!$D$59</c:f>
              <c:strCache>
                <c:ptCount val="1"/>
                <c:pt idx="0">
                  <c:v>GHG (CO₂ eq) Emissions</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'GHG Impact - Baseline-Project'!$B$60:$C$80</c15:sqref>
                  </c15:fullRef>
                </c:ext>
              </c:extLst>
              <c:f>('GHG Impact - Baseline-Project'!$B$60:$C$63,'GHG Impact - Baseline-Project'!$B$68:$C$70,'GHG Impact - Baseline-Project'!$B$74:$C$75,'GHG Impact - Baseline-Project'!$B$79:$C$80)</c:f>
              <c:multiLvlStrCache>
                <c:ptCount val="11"/>
                <c:lvl>
                  <c:pt idx="0">
                    <c:v>Raw Material Extraction Used</c:v>
                  </c:pt>
                  <c:pt idx="1">
                    <c:v>Water Used - Select Water Type</c:v>
                  </c:pt>
                  <c:pt idx="2">
                    <c:v>Total</c:v>
                  </c:pt>
                  <c:pt idx="3">
                    <c:v>Select Power Source - 0%</c:v>
                  </c:pt>
                  <c:pt idx="4">
                    <c:v>Total</c:v>
                  </c:pt>
                  <c:pt idx="5">
                    <c:v>RM Sourcing Select Vehicle Type - Select Fuel Type</c:v>
                  </c:pt>
                  <c:pt idx="6">
                    <c:v>Product Distribution to Suppliers - 0 0 Select Vehicle Type - Select Fuel Type</c:v>
                  </c:pt>
                  <c:pt idx="7">
                    <c:v>Total</c:v>
                  </c:pt>
                  <c:pt idx="8">
                    <c:v>Select Treatment Process - 0%</c:v>
                  </c:pt>
                  <c:pt idx="9">
                    <c:v>Total</c:v>
                  </c:pt>
                </c:lvl>
                <c:lvl>
                  <c:pt idx="0">
                    <c:v>Raw Material Extraction Phase</c:v>
                  </c:pt>
                  <c:pt idx="3">
                    <c:v>Manufacturing Phase</c:v>
                  </c:pt>
                  <c:pt idx="5">
                    <c:v>Transportation Phase </c:v>
                  </c:pt>
                  <c:pt idx="8">
                    <c:v>End-of-Life (EoL) Phase </c:v>
                  </c:pt>
                  <c:pt idx="10">
                    <c:v>Total Project Level Emissions</c:v>
                  </c:pt>
                </c:lvl>
              </c:multiLvlStrCache>
            </c:multiLvlStrRef>
          </c:cat>
          <c:val>
            <c:numRef>
              <c:extLst>
                <c:ext xmlns:c15="http://schemas.microsoft.com/office/drawing/2012/chart" uri="{02D57815-91ED-43cb-92C2-25804820EDAC}">
                  <c15:fullRef>
                    <c15:sqref>'GHG Impact - Baseline-Project'!$D$60:$D$80</c15:sqref>
                  </c15:fullRef>
                </c:ext>
              </c:extLst>
              <c:f>('GHG Impact - Baseline-Project'!$D$60:$D$63,'GHG Impact - Baseline-Project'!$D$68:$D$70,'GHG Impact - Baseline-Project'!$D$74:$D$75,'GHG Impact - Baseline-Project'!$D$79:$D$80)</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493-43EB-908F-CD1D9797EEC7}"/>
            </c:ext>
          </c:extLst>
        </c:ser>
        <c:dLbls>
          <c:dLblPos val="outEnd"/>
          <c:showLegendKey val="0"/>
          <c:showVal val="1"/>
          <c:showCatName val="0"/>
          <c:showSerName val="0"/>
          <c:showPercent val="0"/>
          <c:showBubbleSize val="0"/>
        </c:dLbls>
        <c:gapWidth val="219"/>
        <c:overlap val="-27"/>
        <c:axId val="82331455"/>
        <c:axId val="82334335"/>
      </c:barChart>
      <c:catAx>
        <c:axId val="823314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Life Cycle Phases and its Sub-category</a:t>
                </a:r>
              </a:p>
            </c:rich>
          </c:tx>
          <c:layout>
            <c:manualLayout>
              <c:xMode val="edge"/>
              <c:yMode val="edge"/>
              <c:x val="0.40932870187541809"/>
              <c:y val="0.93856442387843109"/>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0" cap="flat" cmpd="sng" algn="ctr">
            <a:solidFill>
              <a:schemeClr val="tx1">
                <a:lumMod val="15000"/>
                <a:lumOff val="85000"/>
              </a:schemeClr>
            </a:solidFill>
            <a:round/>
          </a:ln>
          <a:effectLst/>
        </c:spPr>
        <c:txPr>
          <a:bodyPr rot="0" spcFirstLastPara="1" vertOverflow="ellipsis" wrap="square" anchor="t" anchorCtr="1"/>
          <a:lstStyle/>
          <a:p>
            <a:pPr>
              <a:defRPr sz="1400" b="0" i="0" u="none" strike="noStrike" kern="1200" baseline="0">
                <a:ln>
                  <a:noFill/>
                </a:ln>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4335"/>
        <c:crossesAt val="0"/>
        <c:auto val="0"/>
        <c:lblAlgn val="ctr"/>
        <c:lblOffset val="100"/>
        <c:noMultiLvlLbl val="0"/>
      </c:catAx>
      <c:valAx>
        <c:axId val="8233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GHG (CO₂ eq) Emissions</a:t>
                </a:r>
              </a:p>
            </c:rich>
          </c:tx>
          <c:layout>
            <c:manualLayout>
              <c:xMode val="edge"/>
              <c:yMode val="edge"/>
              <c:x val="1.7758812909046295E-2"/>
              <c:y val="0.2928599615074733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2331455"/>
        <c:crosses val="autoZero"/>
        <c:crossBetween val="between"/>
      </c:valAx>
      <c:spPr>
        <a:noFill/>
        <a:ln>
          <a:solidFill>
            <a:schemeClr val="tx1">
              <a:lumMod val="5000"/>
              <a:lumOff val="95000"/>
              <a:alpha val="9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0" anchor="t" anchorCtr="1"/>
    <a:lstStyle/>
    <a:p>
      <a:pPr>
        <a:defRPr sz="16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Baseline-Project Level Impact</a:t>
            </a:r>
          </a:p>
        </c:rich>
      </c:tx>
      <c:layout>
        <c:manualLayout>
          <c:xMode val="edge"/>
          <c:yMode val="edge"/>
          <c:x val="0.4026981035703564"/>
          <c:y val="3.8767735475835799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3535895755922966"/>
          <c:y val="0.14448852754122724"/>
          <c:w val="0.82832032854209459"/>
          <c:h val="0.60699349888188447"/>
        </c:manualLayout>
      </c:layout>
      <c:barChart>
        <c:barDir val="col"/>
        <c:grouping val="clustered"/>
        <c:varyColors val="0"/>
        <c:ser>
          <c:idx val="1"/>
          <c:order val="0"/>
          <c:tx>
            <c:strRef>
              <c:f>'GHG Impact - Baseline-Project'!$D$25</c:f>
              <c:strCache>
                <c:ptCount val="1"/>
                <c:pt idx="0">
                  <c:v>GHG (CO₂ eq) Emissions</c:v>
                </c:pt>
              </c:strCache>
            </c:strRef>
          </c:tx>
          <c:spPr>
            <a:solidFill>
              <a:schemeClr val="accent2"/>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A-D842-4FCF-A553-D7E9D0621DE2}"/>
              </c:ext>
            </c:extLst>
          </c:dPt>
          <c:dPt>
            <c:idx val="1"/>
            <c:invertIfNegative val="0"/>
            <c:bubble3D val="0"/>
            <c:spPr>
              <a:solidFill>
                <a:schemeClr val="accent4"/>
              </a:solidFill>
              <a:ln>
                <a:noFill/>
              </a:ln>
              <a:effectLst/>
            </c:spPr>
            <c:extLst>
              <c:ext xmlns:c16="http://schemas.microsoft.com/office/drawing/2014/chart" uri="{C3380CC4-5D6E-409C-BE32-E72D297353CC}">
                <c16:uniqueId val="{0000000B-D842-4FCF-A553-D7E9D0621DE2}"/>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C-D842-4FCF-A553-D7E9D0621DE2}"/>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D-D842-4FCF-A553-D7E9D0621DE2}"/>
              </c:ext>
            </c:extLst>
          </c:dPt>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('GHG Impact - Baseline-Project'!$B$26:$B$27,'GHG Impact - Baseline-Project'!$B$29,'GHG Impact - Baseline-Project'!$B$32)</c:f>
              <c:strCache>
                <c:ptCount val="4"/>
                <c:pt idx="0">
                  <c:v>Total Baseline Emissions</c:v>
                </c:pt>
                <c:pt idx="1">
                  <c:v>Total Project Level Emissions</c:v>
                </c:pt>
                <c:pt idx="2">
                  <c:v>Net Emissions Reduction/Avoided Emissions</c:v>
                </c:pt>
                <c:pt idx="3">
                  <c:v>Net Emissions Reduction/Avoided Emissions (incl. Leakage)</c:v>
                </c:pt>
              </c:strCache>
            </c:strRef>
          </c:cat>
          <c:val>
            <c:numRef>
              <c:f>('GHG Impact - Baseline-Project'!$D$26:$D$27,'GHG Impact - Baseline-Project'!$D$29,'GHG Impact - Baseline-Project'!$D$32)</c:f>
              <c:numCache>
                <c:formatCode>0.000</c:formatCode>
                <c:ptCount val="4"/>
                <c:pt idx="0">
                  <c:v>0</c:v>
                </c:pt>
                <c:pt idx="1">
                  <c:v>0</c:v>
                </c:pt>
                <c:pt idx="2">
                  <c:v>0</c:v>
                </c:pt>
                <c:pt idx="3">
                  <c:v>0</c:v>
                </c:pt>
              </c:numCache>
            </c:numRef>
          </c:val>
          <c:extLst>
            <c:ext xmlns:c16="http://schemas.microsoft.com/office/drawing/2014/chart" uri="{C3380CC4-5D6E-409C-BE32-E72D297353CC}">
              <c16:uniqueId val="{00000001-D842-4FCF-A553-D7E9D0621DE2}"/>
            </c:ext>
          </c:extLst>
        </c:ser>
        <c:dLbls>
          <c:dLblPos val="outEnd"/>
          <c:showLegendKey val="0"/>
          <c:showVal val="1"/>
          <c:showCatName val="0"/>
          <c:showSerName val="0"/>
          <c:showPercent val="0"/>
          <c:showBubbleSize val="0"/>
        </c:dLbls>
        <c:gapWidth val="219"/>
        <c:overlap val="-27"/>
        <c:axId val="963339424"/>
        <c:axId val="963335104"/>
      </c:barChart>
      <c:catAx>
        <c:axId val="963339424"/>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Baseline</a:t>
                </a:r>
                <a:r>
                  <a:rPr lang="en-IN" baseline="0"/>
                  <a:t> Project Sceraio Indicators</a:t>
                </a:r>
              </a:p>
            </c:rich>
          </c:tx>
          <c:layout>
            <c:manualLayout>
              <c:xMode val="edge"/>
              <c:yMode val="edge"/>
              <c:x val="0.34799972250164757"/>
              <c:y val="0.9190698447197385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963335104"/>
        <c:crosses val="autoZero"/>
        <c:auto val="1"/>
        <c:lblAlgn val="ctr"/>
        <c:lblOffset val="100"/>
        <c:noMultiLvlLbl val="0"/>
      </c:catAx>
      <c:valAx>
        <c:axId val="96333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b="0" i="0" u="none" strike="noStrike" kern="1200" spc="0" baseline="0">
                    <a:solidFill>
                      <a:sysClr val="windowText" lastClr="000000"/>
                    </a:solidFill>
                    <a:latin typeface="Times New Roman" panose="02020603050405020304" pitchFamily="18" charset="0"/>
                    <a:cs typeface="Times New Roman" panose="02020603050405020304" pitchFamily="18" charset="0"/>
                  </a:rPr>
                  <a:t>GHG (CO₂ eq) Emissions</a:t>
                </a:r>
              </a:p>
            </c:rich>
          </c:tx>
          <c:layout>
            <c:manualLayout>
              <c:xMode val="edge"/>
              <c:yMode val="edge"/>
              <c:x val="3.2980812907495334E-2"/>
              <c:y val="0.299388089016651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96333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sz="1600"/>
              <a:t>Annual Reporting</a:t>
            </a:r>
          </a:p>
        </c:rich>
      </c:tx>
      <c:layout>
        <c:manualLayout>
          <c:xMode val="edge"/>
          <c:yMode val="edge"/>
          <c:x val="0.41950830930147126"/>
          <c:y val="2.2856201299344049E-2"/>
        </c:manualLayout>
      </c:layout>
      <c:overlay val="0"/>
      <c:spPr>
        <a:noFill/>
        <a:ln>
          <a:noFill/>
        </a:ln>
        <a:effectLst/>
      </c:spPr>
    </c:title>
    <c:autoTitleDeleted val="0"/>
    <c:plotArea>
      <c:layout>
        <c:manualLayout>
          <c:layoutTarget val="inner"/>
          <c:xMode val="edge"/>
          <c:yMode val="edge"/>
          <c:x val="0.30408860472286442"/>
          <c:y val="0.14606544868385846"/>
          <c:w val="0.65406365634490615"/>
          <c:h val="0.68027172666794478"/>
        </c:manualLayout>
      </c:layout>
      <c:barChart>
        <c:barDir val="bar"/>
        <c:grouping val="clustered"/>
        <c:varyColors val="0"/>
        <c:ser>
          <c:idx val="1"/>
          <c:order val="0"/>
          <c:tx>
            <c:strRef>
              <c:f>'Investor Ready Impact Results'!$B$26</c:f>
              <c:strCache>
                <c:ptCount val="1"/>
                <c:pt idx="0">
                  <c:v>Total Annual Scenario</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'Investor Ready Impact Results'!$C$25:$E$25</c:f>
              <c:strCache>
                <c:ptCount val="3"/>
                <c:pt idx="0">
                  <c:v>GHG (CO₂ eq) Emissions
(kg-CO₂ eq/0 0)</c:v>
                </c:pt>
                <c:pt idx="1">
                  <c:v>GHG (CO₂ eq) Efficiency
(kg-CO₂eq/Total Cost - Select Option)</c:v>
                </c:pt>
                <c:pt idx="2">
                  <c:v>GHG (CO₂ eq) Intensity
(kg-CO₂eq/ Total Revenue - Select Option)</c:v>
                </c:pt>
              </c:strCache>
            </c:strRef>
          </c:cat>
          <c:val>
            <c:numRef>
              <c:f>'Investor Ready Impact Results'!$C$26:$E$26</c:f>
              <c:numCache>
                <c:formatCode>0.000</c:formatCode>
                <c:ptCount val="3"/>
                <c:pt idx="0">
                  <c:v>0</c:v>
                </c:pt>
                <c:pt idx="1">
                  <c:v>0</c:v>
                </c:pt>
                <c:pt idx="2">
                  <c:v>0</c:v>
                </c:pt>
              </c:numCache>
            </c:numRef>
          </c:val>
          <c:extLst>
            <c:ext xmlns:c16="http://schemas.microsoft.com/office/drawing/2014/chart" uri="{C3380CC4-5D6E-409C-BE32-E72D297353CC}">
              <c16:uniqueId val="{00000003-AADB-4EA0-84A0-F12C51F2EC7B}"/>
            </c:ext>
          </c:extLst>
        </c:ser>
        <c:dLbls>
          <c:dLblPos val="outEnd"/>
          <c:showLegendKey val="0"/>
          <c:showVal val="1"/>
          <c:showCatName val="0"/>
          <c:showSerName val="0"/>
          <c:showPercent val="0"/>
          <c:showBubbleSize val="0"/>
        </c:dLbls>
        <c:gapWidth val="182"/>
        <c:axId val="1732566655"/>
        <c:axId val="1732538815"/>
      </c:barChart>
      <c:catAx>
        <c:axId val="1732566655"/>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sz="1400"/>
                  <a:t>Investor Merics</a:t>
                </a:r>
              </a:p>
            </c:rich>
          </c:tx>
          <c:layout>
            <c:manualLayout>
              <c:xMode val="edge"/>
              <c:yMode val="edge"/>
              <c:x val="2.9933579893217994E-2"/>
              <c:y val="0.32647761045791113"/>
            </c:manualLayout>
          </c:layout>
          <c:overlay val="0"/>
          <c:spPr>
            <a:noFill/>
            <a:ln>
              <a:noFill/>
            </a:ln>
            <a:effectLst/>
          </c:sp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732538815"/>
        <c:crosses val="autoZero"/>
        <c:auto val="1"/>
        <c:lblAlgn val="ctr"/>
        <c:lblOffset val="100"/>
        <c:noMultiLvlLbl val="0"/>
      </c:catAx>
      <c:valAx>
        <c:axId val="1732538815"/>
        <c:scaling>
          <c:logBase val="10"/>
          <c:orientation val="minMax"/>
        </c:scaling>
        <c:delete val="1"/>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sz="1400"/>
                  <a:t>GHG emissions</a:t>
                </a:r>
              </a:p>
            </c:rich>
          </c:tx>
          <c:layout>
            <c:manualLayout>
              <c:xMode val="edge"/>
              <c:yMode val="edge"/>
              <c:x val="0.55209414946883539"/>
              <c:y val="0.88762879003330797"/>
            </c:manualLayout>
          </c:layout>
          <c:overlay val="0"/>
          <c:spPr>
            <a:noFill/>
            <a:ln>
              <a:noFill/>
            </a:ln>
            <a:effectLst/>
          </c:spPr>
        </c:title>
        <c:numFmt formatCode="0.000" sourceLinked="1"/>
        <c:majorTickMark val="none"/>
        <c:minorTickMark val="none"/>
        <c:tickLblPos val="nextTo"/>
        <c:crossAx val="1732566655"/>
        <c:crosses val="autoZero"/>
        <c:crossBetween val="between"/>
      </c:valAx>
    </c:plotArea>
    <c:plotVisOnly val="1"/>
    <c:dispBlanksAs val="gap"/>
    <c:showDLblsOverMax val="0"/>
  </c:chart>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IN"/>
              <a:t>Investor</a:t>
            </a:r>
            <a:r>
              <a:rPr lang="en-IN" baseline="0"/>
              <a:t> Impact Chart</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25598678854196921"/>
          <c:y val="0.11460797068250238"/>
          <c:w val="0.70076338302531327"/>
          <c:h val="0.64558662428018077"/>
        </c:manualLayout>
      </c:layout>
      <c:barChart>
        <c:barDir val="bar"/>
        <c:grouping val="clustered"/>
        <c:varyColors val="0"/>
        <c:ser>
          <c:idx val="0"/>
          <c:order val="0"/>
          <c:tx>
            <c:strRef>
              <c:f>'Investor Ready Impact Results'!$G$26</c:f>
              <c:strCache>
                <c:ptCount val="1"/>
                <c:pt idx="0">
                  <c:v>Total Baseline Scenario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'Investor Ready Impact Results'!$H$25:$J$25</c:f>
              <c:strCache>
                <c:ptCount val="3"/>
                <c:pt idx="0">
                  <c:v>GHG (CO₂ eq) Emissions
(kg-CO₂eq/FU)</c:v>
                </c:pt>
                <c:pt idx="1">
                  <c:v>GHG (CO₂ eq) Efficiency
(kg-CO₂eq/Total Cost - Select Option)</c:v>
                </c:pt>
                <c:pt idx="2">
                  <c:v>GHG (CO₂ eq) Intensity
(kg-CO₂eq/Total Revenue - Select Option)</c:v>
                </c:pt>
              </c:strCache>
            </c:strRef>
          </c:cat>
          <c:val>
            <c:numRef>
              <c:f>'Investor Ready Impact Results'!$H$26:$J$26</c:f>
              <c:numCache>
                <c:formatCode>0.000</c:formatCode>
                <c:ptCount val="3"/>
                <c:pt idx="0">
                  <c:v>0</c:v>
                </c:pt>
                <c:pt idx="1">
                  <c:v>0</c:v>
                </c:pt>
                <c:pt idx="2">
                  <c:v>0</c:v>
                </c:pt>
              </c:numCache>
            </c:numRef>
          </c:val>
          <c:extLst>
            <c:ext xmlns:c16="http://schemas.microsoft.com/office/drawing/2014/chart" uri="{C3380CC4-5D6E-409C-BE32-E72D297353CC}">
              <c16:uniqueId val="{00000000-DEE3-464E-99C2-C83EFADB15D6}"/>
            </c:ext>
          </c:extLst>
        </c:ser>
        <c:ser>
          <c:idx val="1"/>
          <c:order val="1"/>
          <c:tx>
            <c:strRef>
              <c:f>'Investor Ready Impact Results'!$G$27</c:f>
              <c:strCache>
                <c:ptCount val="1"/>
                <c:pt idx="0">
                  <c:v>Total Project Level Scenario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'Investor Ready Impact Results'!$H$25:$J$25</c:f>
              <c:strCache>
                <c:ptCount val="3"/>
                <c:pt idx="0">
                  <c:v>GHG (CO₂ eq) Emissions
(kg-CO₂eq/FU)</c:v>
                </c:pt>
                <c:pt idx="1">
                  <c:v>GHG (CO₂ eq) Efficiency
(kg-CO₂eq/Total Cost - Select Option)</c:v>
                </c:pt>
                <c:pt idx="2">
                  <c:v>GHG (CO₂ eq) Intensity
(kg-CO₂eq/Total Revenue - Select Option)</c:v>
                </c:pt>
              </c:strCache>
            </c:strRef>
          </c:cat>
          <c:val>
            <c:numRef>
              <c:f>'Investor Ready Impact Results'!$H$27:$J$27</c:f>
              <c:numCache>
                <c:formatCode>0.000</c:formatCode>
                <c:ptCount val="3"/>
                <c:pt idx="0">
                  <c:v>0</c:v>
                </c:pt>
                <c:pt idx="1">
                  <c:v>0</c:v>
                </c:pt>
                <c:pt idx="2">
                  <c:v>0</c:v>
                </c:pt>
              </c:numCache>
            </c:numRef>
          </c:val>
          <c:extLst>
            <c:ext xmlns:c16="http://schemas.microsoft.com/office/drawing/2014/chart" uri="{C3380CC4-5D6E-409C-BE32-E72D297353CC}">
              <c16:uniqueId val="{00000001-DEE3-464E-99C2-C83EFADB15D6}"/>
            </c:ext>
          </c:extLst>
        </c:ser>
        <c:ser>
          <c:idx val="3"/>
          <c:order val="2"/>
          <c:tx>
            <c:strRef>
              <c:f>'Investor Ready Impact Results'!$G$29</c:f>
              <c:strCache>
                <c:ptCount val="1"/>
                <c:pt idx="0">
                  <c:v>Difference in the Scenario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'Investor Ready Impact Results'!$H$25:$J$25</c:f>
              <c:strCache>
                <c:ptCount val="3"/>
                <c:pt idx="0">
                  <c:v>GHG (CO₂ eq) Emissions
(kg-CO₂eq/FU)</c:v>
                </c:pt>
                <c:pt idx="1">
                  <c:v>GHG (CO₂ eq) Efficiency
(kg-CO₂eq/Total Cost - Select Option)</c:v>
                </c:pt>
                <c:pt idx="2">
                  <c:v>GHG (CO₂ eq) Intensity
(kg-CO₂eq/Total Revenue - Select Option)</c:v>
                </c:pt>
              </c:strCache>
            </c:strRef>
          </c:cat>
          <c:val>
            <c:numRef>
              <c:f>'Investor Ready Impact Results'!$H$29:$J$29</c:f>
              <c:numCache>
                <c:formatCode>0.000</c:formatCode>
                <c:ptCount val="3"/>
                <c:pt idx="0">
                  <c:v>0</c:v>
                </c:pt>
                <c:pt idx="1">
                  <c:v>0</c:v>
                </c:pt>
                <c:pt idx="2">
                  <c:v>0</c:v>
                </c:pt>
              </c:numCache>
            </c:numRef>
          </c:val>
          <c:extLst>
            <c:ext xmlns:c16="http://schemas.microsoft.com/office/drawing/2014/chart" uri="{C3380CC4-5D6E-409C-BE32-E72D297353CC}">
              <c16:uniqueId val="{00000003-DEE3-464E-99C2-C83EFADB15D6}"/>
            </c:ext>
          </c:extLst>
        </c:ser>
        <c:ser>
          <c:idx val="2"/>
          <c:order val="3"/>
          <c:tx>
            <c:strRef>
              <c:f>'Investor Ready Impact Results'!$G$32</c:f>
              <c:strCache>
                <c:ptCount val="1"/>
                <c:pt idx="0">
                  <c:v>Difference in the Scenario (incl. Leakage)</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'Investor Ready Impact Results'!$H$25:$J$25</c:f>
              <c:strCache>
                <c:ptCount val="3"/>
                <c:pt idx="0">
                  <c:v>GHG (CO₂ eq) Emissions
(kg-CO₂eq/FU)</c:v>
                </c:pt>
                <c:pt idx="1">
                  <c:v>GHG (CO₂ eq) Efficiency
(kg-CO₂eq/Total Cost - Select Option)</c:v>
                </c:pt>
                <c:pt idx="2">
                  <c:v>GHG (CO₂ eq) Intensity
(kg-CO₂eq/Total Revenue - Select Option)</c:v>
                </c:pt>
              </c:strCache>
            </c:strRef>
          </c:cat>
          <c:val>
            <c:numRef>
              <c:f>'Investor Ready Impact Results'!$H$32:$J$32</c:f>
              <c:numCache>
                <c:formatCode>0.000</c:formatCode>
                <c:ptCount val="3"/>
                <c:pt idx="0">
                  <c:v>0</c:v>
                </c:pt>
                <c:pt idx="1">
                  <c:v>0</c:v>
                </c:pt>
                <c:pt idx="2">
                  <c:v>0</c:v>
                </c:pt>
              </c:numCache>
            </c:numRef>
          </c:val>
          <c:extLst>
            <c:ext xmlns:c16="http://schemas.microsoft.com/office/drawing/2014/chart" uri="{C3380CC4-5D6E-409C-BE32-E72D297353CC}">
              <c16:uniqueId val="{00000007-DEE3-464E-99C2-C83EFADB15D6}"/>
            </c:ext>
          </c:extLst>
        </c:ser>
        <c:dLbls>
          <c:dLblPos val="outEnd"/>
          <c:showLegendKey val="0"/>
          <c:showVal val="1"/>
          <c:showCatName val="0"/>
          <c:showSerName val="0"/>
          <c:showPercent val="0"/>
          <c:showBubbleSize val="0"/>
        </c:dLbls>
        <c:gapWidth val="182"/>
        <c:axId val="1404237216"/>
        <c:axId val="1404233376"/>
      </c:barChart>
      <c:catAx>
        <c:axId val="1404237216"/>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Investor Indicators</a:t>
                </a:r>
              </a:p>
            </c:rich>
          </c:tx>
          <c:layout>
            <c:manualLayout>
              <c:xMode val="edge"/>
              <c:yMode val="edge"/>
              <c:x val="1.9811020674174264E-2"/>
              <c:y val="0.30608592201766283"/>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404233376"/>
        <c:crosses val="autoZero"/>
        <c:auto val="1"/>
        <c:lblAlgn val="ctr"/>
        <c:lblOffset val="100"/>
        <c:noMultiLvlLbl val="0"/>
      </c:catAx>
      <c:valAx>
        <c:axId val="14042333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IN"/>
                  <a:t>GHG (CO₂ eq) Emissions</a:t>
                </a:r>
              </a:p>
            </c:rich>
          </c:tx>
          <c:layout>
            <c:manualLayout>
              <c:xMode val="edge"/>
              <c:yMode val="edge"/>
              <c:x val="0.54216782225469873"/>
              <c:y val="0.84712216981327071"/>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40423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4.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20.svg"/><Relationship Id="rId3" Type="http://schemas.openxmlformats.org/officeDocument/2006/relationships/image" Target="../media/image2.svg"/><Relationship Id="rId7" Type="http://schemas.openxmlformats.org/officeDocument/2006/relationships/image" Target="../media/image17.svg"/><Relationship Id="rId12" Type="http://schemas.openxmlformats.org/officeDocument/2006/relationships/image" Target="../media/image11.png"/><Relationship Id="rId17" Type="http://schemas.openxmlformats.org/officeDocument/2006/relationships/image" Target="../media/image16.svg"/><Relationship Id="rId2" Type="http://schemas.openxmlformats.org/officeDocument/2006/relationships/image" Target="../media/image1.png"/><Relationship Id="rId16" Type="http://schemas.openxmlformats.org/officeDocument/2006/relationships/image" Target="../media/image15.png"/><Relationship Id="rId1" Type="http://schemas.openxmlformats.org/officeDocument/2006/relationships/image" Target="../media/image21.png"/><Relationship Id="rId6" Type="http://schemas.openxmlformats.org/officeDocument/2006/relationships/image" Target="../media/image5.png"/><Relationship Id="rId11" Type="http://schemas.openxmlformats.org/officeDocument/2006/relationships/image" Target="../media/image19.svg"/><Relationship Id="rId5" Type="http://schemas.openxmlformats.org/officeDocument/2006/relationships/image" Target="../media/image4.svg"/><Relationship Id="rId15" Type="http://schemas.openxmlformats.org/officeDocument/2006/relationships/image" Target="../media/image14.sv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18.svg"/><Relationship Id="rId1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8.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9.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10.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11.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11.png"/><Relationship Id="rId18" Type="http://schemas.openxmlformats.org/officeDocument/2006/relationships/image" Target="../media/image16.sv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19.svg"/><Relationship Id="rId17" Type="http://schemas.openxmlformats.org/officeDocument/2006/relationships/image" Target="../media/image15.png"/><Relationship Id="rId2" Type="http://schemas.openxmlformats.org/officeDocument/2006/relationships/chart" Target="../charts/chart2.xml"/><Relationship Id="rId16"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image" Target="../media/image9.png"/><Relationship Id="rId5" Type="http://schemas.openxmlformats.org/officeDocument/2006/relationships/image" Target="../media/image3.png"/><Relationship Id="rId15" Type="http://schemas.openxmlformats.org/officeDocument/2006/relationships/image" Target="../media/image13.png"/><Relationship Id="rId10" Type="http://schemas.openxmlformats.org/officeDocument/2006/relationships/image" Target="../media/image18.svg"/><Relationship Id="rId4" Type="http://schemas.openxmlformats.org/officeDocument/2006/relationships/image" Target="../media/image2.svg"/><Relationship Id="rId9" Type="http://schemas.openxmlformats.org/officeDocument/2006/relationships/image" Target="../media/image7.png"/><Relationship Id="rId14" Type="http://schemas.openxmlformats.org/officeDocument/2006/relationships/image" Target="../media/image20.svg"/></Relationships>
</file>

<file path=xl/drawings/_rels/drawing12.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11.png"/><Relationship Id="rId18" Type="http://schemas.openxmlformats.org/officeDocument/2006/relationships/image" Target="../media/image16.svg"/><Relationship Id="rId3" Type="http://schemas.openxmlformats.org/officeDocument/2006/relationships/image" Target="../media/image1.png"/><Relationship Id="rId7" Type="http://schemas.openxmlformats.org/officeDocument/2006/relationships/image" Target="../media/image5.png"/><Relationship Id="rId12" Type="http://schemas.openxmlformats.org/officeDocument/2006/relationships/image" Target="../media/image19.svg"/><Relationship Id="rId17" Type="http://schemas.openxmlformats.org/officeDocument/2006/relationships/image" Target="../media/image15.png"/><Relationship Id="rId2" Type="http://schemas.openxmlformats.org/officeDocument/2006/relationships/chart" Target="../charts/chart4.xml"/><Relationship Id="rId16" Type="http://schemas.openxmlformats.org/officeDocument/2006/relationships/image" Target="../media/image14.svg"/><Relationship Id="rId1" Type="http://schemas.openxmlformats.org/officeDocument/2006/relationships/chart" Target="../charts/chart3.xml"/><Relationship Id="rId6" Type="http://schemas.openxmlformats.org/officeDocument/2006/relationships/image" Target="../media/image4.svg"/><Relationship Id="rId11" Type="http://schemas.openxmlformats.org/officeDocument/2006/relationships/image" Target="../media/image9.png"/><Relationship Id="rId5" Type="http://schemas.openxmlformats.org/officeDocument/2006/relationships/image" Target="../media/image3.png"/><Relationship Id="rId15" Type="http://schemas.openxmlformats.org/officeDocument/2006/relationships/image" Target="../media/image13.png"/><Relationship Id="rId10" Type="http://schemas.openxmlformats.org/officeDocument/2006/relationships/image" Target="../media/image18.svg"/><Relationship Id="rId19" Type="http://schemas.openxmlformats.org/officeDocument/2006/relationships/chart" Target="../charts/chart5.xml"/><Relationship Id="rId4" Type="http://schemas.openxmlformats.org/officeDocument/2006/relationships/image" Target="../media/image2.svg"/><Relationship Id="rId9" Type="http://schemas.openxmlformats.org/officeDocument/2006/relationships/image" Target="../media/image7.png"/><Relationship Id="rId14" Type="http://schemas.openxmlformats.org/officeDocument/2006/relationships/image" Target="../media/image20.svg"/></Relationships>
</file>

<file path=xl/drawings/_rels/drawing13.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17.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9.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20.svg"/><Relationship Id="rId18" Type="http://schemas.openxmlformats.org/officeDocument/2006/relationships/chart" Target="../charts/chart7.xml"/><Relationship Id="rId3" Type="http://schemas.openxmlformats.org/officeDocument/2006/relationships/image" Target="../media/image2.svg"/><Relationship Id="rId7" Type="http://schemas.openxmlformats.org/officeDocument/2006/relationships/image" Target="../media/image17.svg"/><Relationship Id="rId12" Type="http://schemas.openxmlformats.org/officeDocument/2006/relationships/image" Target="../media/image11.png"/><Relationship Id="rId17" Type="http://schemas.openxmlformats.org/officeDocument/2006/relationships/image" Target="../media/image16.svg"/><Relationship Id="rId2" Type="http://schemas.openxmlformats.org/officeDocument/2006/relationships/image" Target="../media/image1.png"/><Relationship Id="rId16" Type="http://schemas.openxmlformats.org/officeDocument/2006/relationships/image" Target="../media/image15.png"/><Relationship Id="rId1" Type="http://schemas.openxmlformats.org/officeDocument/2006/relationships/chart" Target="../charts/chart6.xml"/><Relationship Id="rId6" Type="http://schemas.openxmlformats.org/officeDocument/2006/relationships/image" Target="../media/image5.png"/><Relationship Id="rId11" Type="http://schemas.openxmlformats.org/officeDocument/2006/relationships/image" Target="../media/image19.svg"/><Relationship Id="rId5" Type="http://schemas.openxmlformats.org/officeDocument/2006/relationships/image" Target="../media/image4.svg"/><Relationship Id="rId15" Type="http://schemas.openxmlformats.org/officeDocument/2006/relationships/image" Target="../media/image14.sv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18.sv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1</xdr:col>
      <xdr:colOff>244928</xdr:colOff>
      <xdr:row>0</xdr:row>
      <xdr:rowOff>108857</xdr:rowOff>
    </xdr:from>
    <xdr:to>
      <xdr:col>1</xdr:col>
      <xdr:colOff>1159328</xdr:colOff>
      <xdr:row>0</xdr:row>
      <xdr:rowOff>1023257</xdr:rowOff>
    </xdr:to>
    <xdr:pic>
      <xdr:nvPicPr>
        <xdr:cNvPr id="3" name="Graphic 2" descr="Oil Rig with solid fill">
          <a:extLst>
            <a:ext uri="{FF2B5EF4-FFF2-40B4-BE49-F238E27FC236}">
              <a16:creationId xmlns:a16="http://schemas.microsoft.com/office/drawing/2014/main" id="{13A41C43-5446-3120-6FD3-F48C22C894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8999" y="108857"/>
          <a:ext cx="914400" cy="914400"/>
        </a:xfrm>
        <a:prstGeom prst="rect">
          <a:avLst/>
        </a:prstGeom>
      </xdr:spPr>
    </xdr:pic>
    <xdr:clientData/>
  </xdr:twoCellAnchor>
  <xdr:twoCellAnchor editAs="oneCell">
    <xdr:from>
      <xdr:col>2</xdr:col>
      <xdr:colOff>1138784</xdr:colOff>
      <xdr:row>0</xdr:row>
      <xdr:rowOff>113714</xdr:rowOff>
    </xdr:from>
    <xdr:to>
      <xdr:col>2</xdr:col>
      <xdr:colOff>2053184</xdr:colOff>
      <xdr:row>0</xdr:row>
      <xdr:rowOff>1028114</xdr:rowOff>
    </xdr:to>
    <xdr:pic>
      <xdr:nvPicPr>
        <xdr:cNvPr id="5" name="Graphic 4" descr="Power Plant with solid fill">
          <a:extLst>
            <a:ext uri="{FF2B5EF4-FFF2-40B4-BE49-F238E27FC236}">
              <a16:creationId xmlns:a16="http://schemas.microsoft.com/office/drawing/2014/main" id="{ECCCF9ED-706E-430A-9214-6D8F00738A9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95641" y="113714"/>
          <a:ext cx="914400" cy="914400"/>
        </a:xfrm>
        <a:prstGeom prst="rect">
          <a:avLst/>
        </a:prstGeom>
      </xdr:spPr>
    </xdr:pic>
    <xdr:clientData/>
  </xdr:twoCellAnchor>
  <xdr:twoCellAnchor editAs="oneCell">
    <xdr:from>
      <xdr:col>2</xdr:col>
      <xdr:colOff>64142</xdr:colOff>
      <xdr:row>0</xdr:row>
      <xdr:rowOff>118572</xdr:rowOff>
    </xdr:from>
    <xdr:to>
      <xdr:col>2</xdr:col>
      <xdr:colOff>978542</xdr:colOff>
      <xdr:row>0</xdr:row>
      <xdr:rowOff>1032972</xdr:rowOff>
    </xdr:to>
    <xdr:pic>
      <xdr:nvPicPr>
        <xdr:cNvPr id="7" name="Graphic 6" descr="Fuel with solid fill">
          <a:extLst>
            <a:ext uri="{FF2B5EF4-FFF2-40B4-BE49-F238E27FC236}">
              <a16:creationId xmlns:a16="http://schemas.microsoft.com/office/drawing/2014/main" id="{996EF106-B61F-1914-549C-58A65309E72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220999" y="118572"/>
          <a:ext cx="914400" cy="914400"/>
        </a:xfrm>
        <a:prstGeom prst="rect">
          <a:avLst/>
        </a:prstGeom>
      </xdr:spPr>
    </xdr:pic>
    <xdr:clientData/>
  </xdr:twoCellAnchor>
  <xdr:twoCellAnchor editAs="oneCell">
    <xdr:from>
      <xdr:col>1</xdr:col>
      <xdr:colOff>1447857</xdr:colOff>
      <xdr:row>0</xdr:row>
      <xdr:rowOff>141572</xdr:rowOff>
    </xdr:from>
    <xdr:to>
      <xdr:col>1</xdr:col>
      <xdr:colOff>2362257</xdr:colOff>
      <xdr:row>0</xdr:row>
      <xdr:rowOff>1055972</xdr:rowOff>
    </xdr:to>
    <xdr:pic>
      <xdr:nvPicPr>
        <xdr:cNvPr id="9" name="Graphic 8" descr="Fuel with solid fill">
          <a:extLst>
            <a:ext uri="{FF2B5EF4-FFF2-40B4-BE49-F238E27FC236}">
              <a16:creationId xmlns:a16="http://schemas.microsoft.com/office/drawing/2014/main" id="{E0683F04-373D-EC3E-ECC0-86CFA5F7FF6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091928" y="141572"/>
          <a:ext cx="914400" cy="914400"/>
        </a:xfrm>
        <a:prstGeom prst="rect">
          <a:avLst/>
        </a:prstGeom>
      </xdr:spPr>
    </xdr:pic>
    <xdr:clientData/>
  </xdr:twoCellAnchor>
  <xdr:twoCellAnchor editAs="oneCell">
    <xdr:from>
      <xdr:col>3</xdr:col>
      <xdr:colOff>408214</xdr:colOff>
      <xdr:row>0</xdr:row>
      <xdr:rowOff>163285</xdr:rowOff>
    </xdr:from>
    <xdr:to>
      <xdr:col>3</xdr:col>
      <xdr:colOff>1322614</xdr:colOff>
      <xdr:row>1</xdr:row>
      <xdr:rowOff>7256</xdr:rowOff>
    </xdr:to>
    <xdr:pic>
      <xdr:nvPicPr>
        <xdr:cNvPr id="11" name="Graphic 10" descr="Seeds with solid fill">
          <a:extLst>
            <a:ext uri="{FF2B5EF4-FFF2-40B4-BE49-F238E27FC236}">
              <a16:creationId xmlns:a16="http://schemas.microsoft.com/office/drawing/2014/main" id="{8D0B81A9-D1B2-6F99-BB92-B5A29C4F8A0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239500" y="163285"/>
          <a:ext cx="914400" cy="914400"/>
        </a:xfrm>
        <a:prstGeom prst="rect">
          <a:avLst/>
        </a:prstGeom>
      </xdr:spPr>
    </xdr:pic>
    <xdr:clientData/>
  </xdr:twoCellAnchor>
  <xdr:twoCellAnchor editAs="oneCell">
    <xdr:from>
      <xdr:col>3</xdr:col>
      <xdr:colOff>2780713</xdr:colOff>
      <xdr:row>0</xdr:row>
      <xdr:rowOff>159070</xdr:rowOff>
    </xdr:from>
    <xdr:to>
      <xdr:col>3</xdr:col>
      <xdr:colOff>3695113</xdr:colOff>
      <xdr:row>1</xdr:row>
      <xdr:rowOff>3041</xdr:rowOff>
    </xdr:to>
    <xdr:pic>
      <xdr:nvPicPr>
        <xdr:cNvPr id="13" name="Graphic 12" descr="Wind Turbines with solid fill">
          <a:extLst>
            <a:ext uri="{FF2B5EF4-FFF2-40B4-BE49-F238E27FC236}">
              <a16:creationId xmlns:a16="http://schemas.microsoft.com/office/drawing/2014/main" id="{8BF5D56C-DD01-ED44-8254-1E5B1D773FB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611999" y="159070"/>
          <a:ext cx="914400" cy="914400"/>
        </a:xfrm>
        <a:prstGeom prst="rect">
          <a:avLst/>
        </a:prstGeom>
      </xdr:spPr>
    </xdr:pic>
    <xdr:clientData/>
  </xdr:twoCellAnchor>
  <xdr:twoCellAnchor editAs="oneCell">
    <xdr:from>
      <xdr:col>3</xdr:col>
      <xdr:colOff>1506500</xdr:colOff>
      <xdr:row>0</xdr:row>
      <xdr:rowOff>145786</xdr:rowOff>
    </xdr:from>
    <xdr:to>
      <xdr:col>3</xdr:col>
      <xdr:colOff>2420900</xdr:colOff>
      <xdr:row>0</xdr:row>
      <xdr:rowOff>1060186</xdr:rowOff>
    </xdr:to>
    <xdr:pic>
      <xdr:nvPicPr>
        <xdr:cNvPr id="15" name="Graphic 14" descr="Solar Panels with solid fill">
          <a:extLst>
            <a:ext uri="{FF2B5EF4-FFF2-40B4-BE49-F238E27FC236}">
              <a16:creationId xmlns:a16="http://schemas.microsoft.com/office/drawing/2014/main" id="{7170D0D4-A670-8156-94C4-D5249DC4D98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2337786" y="145786"/>
          <a:ext cx="914400" cy="914400"/>
        </a:xfrm>
        <a:prstGeom prst="rect">
          <a:avLst/>
        </a:prstGeom>
      </xdr:spPr>
    </xdr:pic>
    <xdr:clientData/>
  </xdr:twoCellAnchor>
  <xdr:twoCellAnchor editAs="oneCell">
    <xdr:from>
      <xdr:col>3</xdr:col>
      <xdr:colOff>4042284</xdr:colOff>
      <xdr:row>0</xdr:row>
      <xdr:rowOff>168786</xdr:rowOff>
    </xdr:from>
    <xdr:to>
      <xdr:col>3</xdr:col>
      <xdr:colOff>4956684</xdr:colOff>
      <xdr:row>1</xdr:row>
      <xdr:rowOff>12757</xdr:rowOff>
    </xdr:to>
    <xdr:pic>
      <xdr:nvPicPr>
        <xdr:cNvPr id="17" name="Graphic 16" descr="Renewable Energy with solid fill">
          <a:extLst>
            <a:ext uri="{FF2B5EF4-FFF2-40B4-BE49-F238E27FC236}">
              <a16:creationId xmlns:a16="http://schemas.microsoft.com/office/drawing/2014/main" id="{CDDA2F14-4BBB-77AB-FB3E-95CD60822A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873570" y="168786"/>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199571</xdr:colOff>
      <xdr:row>0</xdr:row>
      <xdr:rowOff>117928</xdr:rowOff>
    </xdr:from>
    <xdr:to>
      <xdr:col>1</xdr:col>
      <xdr:colOff>938571</xdr:colOff>
      <xdr:row>0</xdr:row>
      <xdr:rowOff>856928</xdr:rowOff>
    </xdr:to>
    <xdr:pic>
      <xdr:nvPicPr>
        <xdr:cNvPr id="26" name="Graphic 25" descr="Oil Rig with solid fill">
          <a:extLst>
            <a:ext uri="{FF2B5EF4-FFF2-40B4-BE49-F238E27FC236}">
              <a16:creationId xmlns:a16="http://schemas.microsoft.com/office/drawing/2014/main" id="{D97458F1-A921-4970-8DDF-3E9C986CA7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3642" y="117928"/>
          <a:ext cx="739000" cy="739000"/>
        </a:xfrm>
        <a:prstGeom prst="rect">
          <a:avLst/>
        </a:prstGeom>
      </xdr:spPr>
    </xdr:pic>
    <xdr:clientData/>
  </xdr:twoCellAnchor>
  <xdr:twoCellAnchor editAs="oneCell">
    <xdr:from>
      <xdr:col>1</xdr:col>
      <xdr:colOff>2925857</xdr:colOff>
      <xdr:row>0</xdr:row>
      <xdr:rowOff>86500</xdr:rowOff>
    </xdr:from>
    <xdr:to>
      <xdr:col>2</xdr:col>
      <xdr:colOff>505526</xdr:colOff>
      <xdr:row>0</xdr:row>
      <xdr:rowOff>825500</xdr:rowOff>
    </xdr:to>
    <xdr:pic>
      <xdr:nvPicPr>
        <xdr:cNvPr id="27" name="Graphic 26" descr="Power Plant with solid fill">
          <a:extLst>
            <a:ext uri="{FF2B5EF4-FFF2-40B4-BE49-F238E27FC236}">
              <a16:creationId xmlns:a16="http://schemas.microsoft.com/office/drawing/2014/main" id="{D39468B5-FC9B-4398-8296-93DF579FB9E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569928" y="86500"/>
          <a:ext cx="739000" cy="739000"/>
        </a:xfrm>
        <a:prstGeom prst="rect">
          <a:avLst/>
        </a:prstGeom>
      </xdr:spPr>
    </xdr:pic>
    <xdr:clientData/>
  </xdr:twoCellAnchor>
  <xdr:twoCellAnchor editAs="oneCell">
    <xdr:from>
      <xdr:col>1</xdr:col>
      <xdr:colOff>2096142</xdr:colOff>
      <xdr:row>0</xdr:row>
      <xdr:rowOff>109501</xdr:rowOff>
    </xdr:from>
    <xdr:to>
      <xdr:col>1</xdr:col>
      <xdr:colOff>2835142</xdr:colOff>
      <xdr:row>0</xdr:row>
      <xdr:rowOff>848501</xdr:rowOff>
    </xdr:to>
    <xdr:pic>
      <xdr:nvPicPr>
        <xdr:cNvPr id="28" name="Graphic 27" descr="Fuel with solid fill">
          <a:extLst>
            <a:ext uri="{FF2B5EF4-FFF2-40B4-BE49-F238E27FC236}">
              <a16:creationId xmlns:a16="http://schemas.microsoft.com/office/drawing/2014/main" id="{59D52A6F-6344-4FD6-8C9D-7F2681F0EB0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740213" y="109501"/>
          <a:ext cx="739000" cy="739000"/>
        </a:xfrm>
        <a:prstGeom prst="rect">
          <a:avLst/>
        </a:prstGeom>
      </xdr:spPr>
    </xdr:pic>
    <xdr:clientData/>
  </xdr:twoCellAnchor>
  <xdr:twoCellAnchor editAs="oneCell">
    <xdr:from>
      <xdr:col>1</xdr:col>
      <xdr:colOff>1148500</xdr:colOff>
      <xdr:row>0</xdr:row>
      <xdr:rowOff>141572</xdr:rowOff>
    </xdr:from>
    <xdr:to>
      <xdr:col>1</xdr:col>
      <xdr:colOff>1887500</xdr:colOff>
      <xdr:row>0</xdr:row>
      <xdr:rowOff>880572</xdr:rowOff>
    </xdr:to>
    <xdr:pic>
      <xdr:nvPicPr>
        <xdr:cNvPr id="29" name="Graphic 28" descr="Fuel with solid fill">
          <a:extLst>
            <a:ext uri="{FF2B5EF4-FFF2-40B4-BE49-F238E27FC236}">
              <a16:creationId xmlns:a16="http://schemas.microsoft.com/office/drawing/2014/main" id="{C0B811DA-78B0-45F3-AE75-DE5136E427C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792571" y="141572"/>
          <a:ext cx="739000" cy="739000"/>
        </a:xfrm>
        <a:prstGeom prst="rect">
          <a:avLst/>
        </a:prstGeom>
      </xdr:spPr>
    </xdr:pic>
    <xdr:clientData/>
  </xdr:twoCellAnchor>
  <xdr:twoCellAnchor editAs="oneCell">
    <xdr:from>
      <xdr:col>3</xdr:col>
      <xdr:colOff>625929</xdr:colOff>
      <xdr:row>0</xdr:row>
      <xdr:rowOff>126999</xdr:rowOff>
    </xdr:from>
    <xdr:to>
      <xdr:col>3</xdr:col>
      <xdr:colOff>1364929</xdr:colOff>
      <xdr:row>0</xdr:row>
      <xdr:rowOff>865999</xdr:rowOff>
    </xdr:to>
    <xdr:pic>
      <xdr:nvPicPr>
        <xdr:cNvPr id="30" name="Graphic 29" descr="Seeds with solid fill">
          <a:extLst>
            <a:ext uri="{FF2B5EF4-FFF2-40B4-BE49-F238E27FC236}">
              <a16:creationId xmlns:a16="http://schemas.microsoft.com/office/drawing/2014/main" id="{D05CE2C7-56A5-427B-B65A-1953EFD2D3B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060215" y="126999"/>
          <a:ext cx="739000" cy="739000"/>
        </a:xfrm>
        <a:prstGeom prst="rect">
          <a:avLst/>
        </a:prstGeom>
      </xdr:spPr>
    </xdr:pic>
    <xdr:clientData/>
  </xdr:twoCellAnchor>
  <xdr:twoCellAnchor editAs="oneCell">
    <xdr:from>
      <xdr:col>3</xdr:col>
      <xdr:colOff>2490427</xdr:colOff>
      <xdr:row>0</xdr:row>
      <xdr:rowOff>95570</xdr:rowOff>
    </xdr:from>
    <xdr:to>
      <xdr:col>3</xdr:col>
      <xdr:colOff>3229427</xdr:colOff>
      <xdr:row>0</xdr:row>
      <xdr:rowOff>834570</xdr:rowOff>
    </xdr:to>
    <xdr:pic>
      <xdr:nvPicPr>
        <xdr:cNvPr id="31" name="Graphic 30" descr="Wind Turbines with solid fill">
          <a:extLst>
            <a:ext uri="{FF2B5EF4-FFF2-40B4-BE49-F238E27FC236}">
              <a16:creationId xmlns:a16="http://schemas.microsoft.com/office/drawing/2014/main" id="{5063248D-1C22-4F38-933E-56BCE985342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24713" y="95570"/>
          <a:ext cx="739000" cy="739000"/>
        </a:xfrm>
        <a:prstGeom prst="rect">
          <a:avLst/>
        </a:prstGeom>
      </xdr:spPr>
    </xdr:pic>
    <xdr:clientData/>
  </xdr:twoCellAnchor>
  <xdr:twoCellAnchor editAs="oneCell">
    <xdr:from>
      <xdr:col>3</xdr:col>
      <xdr:colOff>1579072</xdr:colOff>
      <xdr:row>0</xdr:row>
      <xdr:rowOff>91357</xdr:rowOff>
    </xdr:from>
    <xdr:to>
      <xdr:col>3</xdr:col>
      <xdr:colOff>2318072</xdr:colOff>
      <xdr:row>0</xdr:row>
      <xdr:rowOff>830357</xdr:rowOff>
    </xdr:to>
    <xdr:pic>
      <xdr:nvPicPr>
        <xdr:cNvPr id="32" name="Graphic 31" descr="Solar Panels with solid fill">
          <a:extLst>
            <a:ext uri="{FF2B5EF4-FFF2-40B4-BE49-F238E27FC236}">
              <a16:creationId xmlns:a16="http://schemas.microsoft.com/office/drawing/2014/main" id="{FD83DE35-1451-4836-BA87-3966F59C6B6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13358" y="91357"/>
          <a:ext cx="739000" cy="739000"/>
        </a:xfrm>
        <a:prstGeom prst="rect">
          <a:avLst/>
        </a:prstGeom>
      </xdr:spPr>
    </xdr:pic>
    <xdr:clientData/>
  </xdr:twoCellAnchor>
  <xdr:twoCellAnchor editAs="oneCell">
    <xdr:from>
      <xdr:col>3</xdr:col>
      <xdr:colOff>3434499</xdr:colOff>
      <xdr:row>0</xdr:row>
      <xdr:rowOff>114358</xdr:rowOff>
    </xdr:from>
    <xdr:to>
      <xdr:col>3</xdr:col>
      <xdr:colOff>4173499</xdr:colOff>
      <xdr:row>0</xdr:row>
      <xdr:rowOff>853358</xdr:rowOff>
    </xdr:to>
    <xdr:pic>
      <xdr:nvPicPr>
        <xdr:cNvPr id="33" name="Graphic 32" descr="Renewable Energy with solid fill">
          <a:extLst>
            <a:ext uri="{FF2B5EF4-FFF2-40B4-BE49-F238E27FC236}">
              <a16:creationId xmlns:a16="http://schemas.microsoft.com/office/drawing/2014/main" id="{EF680EFF-EF69-4D9F-97DC-900B508F3BB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868785" y="114358"/>
          <a:ext cx="739000" cy="739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727364</xdr:colOff>
      <xdr:row>0</xdr:row>
      <xdr:rowOff>0</xdr:rowOff>
    </xdr:from>
    <xdr:to>
      <xdr:col>1</xdr:col>
      <xdr:colOff>1641764</xdr:colOff>
      <xdr:row>0</xdr:row>
      <xdr:rowOff>914400</xdr:rowOff>
    </xdr:to>
    <xdr:pic>
      <xdr:nvPicPr>
        <xdr:cNvPr id="2" name="Graphic 1" descr="Oil Rig with solid fill">
          <a:extLst>
            <a:ext uri="{FF2B5EF4-FFF2-40B4-BE49-F238E27FC236}">
              <a16:creationId xmlns:a16="http://schemas.microsoft.com/office/drawing/2014/main" id="{F3D7CF1D-21F0-472F-9888-B436C56AED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73909" y="0"/>
          <a:ext cx="914400" cy="914400"/>
        </a:xfrm>
        <a:prstGeom prst="rect">
          <a:avLst/>
        </a:prstGeom>
      </xdr:spPr>
    </xdr:pic>
    <xdr:clientData/>
  </xdr:twoCellAnchor>
  <xdr:twoCellAnchor editAs="oneCell">
    <xdr:from>
      <xdr:col>1</xdr:col>
      <xdr:colOff>4134006</xdr:colOff>
      <xdr:row>0</xdr:row>
      <xdr:rowOff>4857</xdr:rowOff>
    </xdr:from>
    <xdr:to>
      <xdr:col>2</xdr:col>
      <xdr:colOff>314769</xdr:colOff>
      <xdr:row>0</xdr:row>
      <xdr:rowOff>919257</xdr:rowOff>
    </xdr:to>
    <xdr:pic>
      <xdr:nvPicPr>
        <xdr:cNvPr id="3" name="Graphic 2" descr="Power Plant with solid fill">
          <a:extLst>
            <a:ext uri="{FF2B5EF4-FFF2-40B4-BE49-F238E27FC236}">
              <a16:creationId xmlns:a16="http://schemas.microsoft.com/office/drawing/2014/main" id="{93AD3CC0-3D1C-445E-8951-30F41F966A0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780551" y="4857"/>
          <a:ext cx="914400" cy="914400"/>
        </a:xfrm>
        <a:prstGeom prst="rect">
          <a:avLst/>
        </a:prstGeom>
      </xdr:spPr>
    </xdr:pic>
    <xdr:clientData/>
  </xdr:twoCellAnchor>
  <xdr:twoCellAnchor editAs="oneCell">
    <xdr:from>
      <xdr:col>1</xdr:col>
      <xdr:colOff>3059364</xdr:colOff>
      <xdr:row>0</xdr:row>
      <xdr:rowOff>9715</xdr:rowOff>
    </xdr:from>
    <xdr:to>
      <xdr:col>1</xdr:col>
      <xdr:colOff>3973764</xdr:colOff>
      <xdr:row>0</xdr:row>
      <xdr:rowOff>924115</xdr:rowOff>
    </xdr:to>
    <xdr:pic>
      <xdr:nvPicPr>
        <xdr:cNvPr id="4" name="Graphic 3" descr="Fuel with solid fill">
          <a:extLst>
            <a:ext uri="{FF2B5EF4-FFF2-40B4-BE49-F238E27FC236}">
              <a16:creationId xmlns:a16="http://schemas.microsoft.com/office/drawing/2014/main" id="{558C3CFB-11F3-4D27-9FA8-26F21E627D1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05909" y="9715"/>
          <a:ext cx="914400" cy="914400"/>
        </a:xfrm>
        <a:prstGeom prst="rect">
          <a:avLst/>
        </a:prstGeom>
      </xdr:spPr>
    </xdr:pic>
    <xdr:clientData/>
  </xdr:twoCellAnchor>
  <xdr:twoCellAnchor editAs="oneCell">
    <xdr:from>
      <xdr:col>1</xdr:col>
      <xdr:colOff>1930293</xdr:colOff>
      <xdr:row>0</xdr:row>
      <xdr:rowOff>32715</xdr:rowOff>
    </xdr:from>
    <xdr:to>
      <xdr:col>1</xdr:col>
      <xdr:colOff>2844693</xdr:colOff>
      <xdr:row>0</xdr:row>
      <xdr:rowOff>947115</xdr:rowOff>
    </xdr:to>
    <xdr:pic>
      <xdr:nvPicPr>
        <xdr:cNvPr id="5" name="Graphic 4" descr="Fuel with solid fill">
          <a:extLst>
            <a:ext uri="{FF2B5EF4-FFF2-40B4-BE49-F238E27FC236}">
              <a16:creationId xmlns:a16="http://schemas.microsoft.com/office/drawing/2014/main" id="{5E778ACF-F936-45D9-B6FA-07EF8688482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76838" y="32715"/>
          <a:ext cx="914400" cy="914400"/>
        </a:xfrm>
        <a:prstGeom prst="rect">
          <a:avLst/>
        </a:prstGeom>
      </xdr:spPr>
    </xdr:pic>
    <xdr:clientData/>
  </xdr:twoCellAnchor>
  <xdr:twoCellAnchor editAs="oneCell">
    <xdr:from>
      <xdr:col>2</xdr:col>
      <xdr:colOff>6344228</xdr:colOff>
      <xdr:row>0</xdr:row>
      <xdr:rowOff>54428</xdr:rowOff>
    </xdr:from>
    <xdr:to>
      <xdr:col>2</xdr:col>
      <xdr:colOff>7258628</xdr:colOff>
      <xdr:row>0</xdr:row>
      <xdr:rowOff>968828</xdr:rowOff>
    </xdr:to>
    <xdr:pic>
      <xdr:nvPicPr>
        <xdr:cNvPr id="6" name="Graphic 5" descr="Seeds with solid fill">
          <a:extLst>
            <a:ext uri="{FF2B5EF4-FFF2-40B4-BE49-F238E27FC236}">
              <a16:creationId xmlns:a16="http://schemas.microsoft.com/office/drawing/2014/main" id="{53501610-2083-4513-8C9C-D1B41DF4A62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724410" y="54428"/>
          <a:ext cx="914400" cy="914400"/>
        </a:xfrm>
        <a:prstGeom prst="rect">
          <a:avLst/>
        </a:prstGeom>
      </xdr:spPr>
    </xdr:pic>
    <xdr:clientData/>
  </xdr:twoCellAnchor>
  <xdr:twoCellAnchor editAs="oneCell">
    <xdr:from>
      <xdr:col>2</xdr:col>
      <xdr:colOff>8716727</xdr:colOff>
      <xdr:row>0</xdr:row>
      <xdr:rowOff>50213</xdr:rowOff>
    </xdr:from>
    <xdr:to>
      <xdr:col>2</xdr:col>
      <xdr:colOff>9631127</xdr:colOff>
      <xdr:row>0</xdr:row>
      <xdr:rowOff>964613</xdr:rowOff>
    </xdr:to>
    <xdr:pic>
      <xdr:nvPicPr>
        <xdr:cNvPr id="7" name="Graphic 6" descr="Wind Turbines with solid fill">
          <a:extLst>
            <a:ext uri="{FF2B5EF4-FFF2-40B4-BE49-F238E27FC236}">
              <a16:creationId xmlns:a16="http://schemas.microsoft.com/office/drawing/2014/main" id="{55E4575D-614A-4F01-BA67-B77967B6917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4096909" y="50213"/>
          <a:ext cx="914400" cy="914400"/>
        </a:xfrm>
        <a:prstGeom prst="rect">
          <a:avLst/>
        </a:prstGeom>
      </xdr:spPr>
    </xdr:pic>
    <xdr:clientData/>
  </xdr:twoCellAnchor>
  <xdr:twoCellAnchor editAs="oneCell">
    <xdr:from>
      <xdr:col>2</xdr:col>
      <xdr:colOff>7442514</xdr:colOff>
      <xdr:row>0</xdr:row>
      <xdr:rowOff>36929</xdr:rowOff>
    </xdr:from>
    <xdr:to>
      <xdr:col>2</xdr:col>
      <xdr:colOff>8356914</xdr:colOff>
      <xdr:row>0</xdr:row>
      <xdr:rowOff>951329</xdr:rowOff>
    </xdr:to>
    <xdr:pic>
      <xdr:nvPicPr>
        <xdr:cNvPr id="8" name="Graphic 7" descr="Solar Panels with solid fill">
          <a:extLst>
            <a:ext uri="{FF2B5EF4-FFF2-40B4-BE49-F238E27FC236}">
              <a16:creationId xmlns:a16="http://schemas.microsoft.com/office/drawing/2014/main" id="{35930DA9-A4DD-4219-A596-C528C2349E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2822696" y="36929"/>
          <a:ext cx="914400" cy="914400"/>
        </a:xfrm>
        <a:prstGeom prst="rect">
          <a:avLst/>
        </a:prstGeom>
      </xdr:spPr>
    </xdr:pic>
    <xdr:clientData/>
  </xdr:twoCellAnchor>
  <xdr:twoCellAnchor editAs="oneCell">
    <xdr:from>
      <xdr:col>2</xdr:col>
      <xdr:colOff>9978298</xdr:colOff>
      <xdr:row>0</xdr:row>
      <xdr:rowOff>59929</xdr:rowOff>
    </xdr:from>
    <xdr:to>
      <xdr:col>2</xdr:col>
      <xdr:colOff>10892698</xdr:colOff>
      <xdr:row>0</xdr:row>
      <xdr:rowOff>974329</xdr:rowOff>
    </xdr:to>
    <xdr:pic>
      <xdr:nvPicPr>
        <xdr:cNvPr id="9" name="Graphic 8" descr="Renewable Energy with solid fill">
          <a:extLst>
            <a:ext uri="{FF2B5EF4-FFF2-40B4-BE49-F238E27FC236}">
              <a16:creationId xmlns:a16="http://schemas.microsoft.com/office/drawing/2014/main" id="{A11394B7-25BA-4A93-B14D-A3F09655ACC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358480" y="59929"/>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304800</xdr:colOff>
      <xdr:row>0</xdr:row>
      <xdr:rowOff>146050</xdr:rowOff>
    </xdr:from>
    <xdr:to>
      <xdr:col>16</xdr:col>
      <xdr:colOff>1219200</xdr:colOff>
      <xdr:row>0</xdr:row>
      <xdr:rowOff>1060450</xdr:rowOff>
    </xdr:to>
    <xdr:pic>
      <xdr:nvPicPr>
        <xdr:cNvPr id="18" name="Graphic 17" descr="Oil Rig with solid fill">
          <a:extLst>
            <a:ext uri="{FF2B5EF4-FFF2-40B4-BE49-F238E27FC236}">
              <a16:creationId xmlns:a16="http://schemas.microsoft.com/office/drawing/2014/main" id="{56E3D99D-6C5A-466A-BDDF-CEA3D46355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910175" y="146050"/>
          <a:ext cx="914400" cy="914400"/>
        </a:xfrm>
        <a:prstGeom prst="rect">
          <a:avLst/>
        </a:prstGeom>
      </xdr:spPr>
    </xdr:pic>
    <xdr:clientData/>
  </xdr:twoCellAnchor>
  <xdr:twoCellAnchor editAs="oneCell">
    <xdr:from>
      <xdr:col>17</xdr:col>
      <xdr:colOff>1501642</xdr:colOff>
      <xdr:row>0</xdr:row>
      <xdr:rowOff>150907</xdr:rowOff>
    </xdr:from>
    <xdr:to>
      <xdr:col>17</xdr:col>
      <xdr:colOff>2396992</xdr:colOff>
      <xdr:row>0</xdr:row>
      <xdr:rowOff>1065307</xdr:rowOff>
    </xdr:to>
    <xdr:pic>
      <xdr:nvPicPr>
        <xdr:cNvPr id="19" name="Graphic 18" descr="Power Plant with solid fill">
          <a:extLst>
            <a:ext uri="{FF2B5EF4-FFF2-40B4-BE49-F238E27FC236}">
              <a16:creationId xmlns:a16="http://schemas.microsoft.com/office/drawing/2014/main" id="{0859C847-A065-4B07-9239-97F21760EC4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313642" y="150907"/>
          <a:ext cx="895350" cy="914400"/>
        </a:xfrm>
        <a:prstGeom prst="rect">
          <a:avLst/>
        </a:prstGeom>
      </xdr:spPr>
    </xdr:pic>
    <xdr:clientData/>
  </xdr:twoCellAnchor>
  <xdr:twoCellAnchor editAs="oneCell">
    <xdr:from>
      <xdr:col>17</xdr:col>
      <xdr:colOff>427000</xdr:colOff>
      <xdr:row>0</xdr:row>
      <xdr:rowOff>155765</xdr:rowOff>
    </xdr:from>
    <xdr:to>
      <xdr:col>17</xdr:col>
      <xdr:colOff>1341400</xdr:colOff>
      <xdr:row>0</xdr:row>
      <xdr:rowOff>1070165</xdr:rowOff>
    </xdr:to>
    <xdr:pic>
      <xdr:nvPicPr>
        <xdr:cNvPr id="20" name="Graphic 19" descr="Fuel with solid fill">
          <a:extLst>
            <a:ext uri="{FF2B5EF4-FFF2-40B4-BE49-F238E27FC236}">
              <a16:creationId xmlns:a16="http://schemas.microsoft.com/office/drawing/2014/main" id="{FBED5A5A-3D89-4269-9AD8-ED7B5A7A2B9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239000" y="155765"/>
          <a:ext cx="914400" cy="914400"/>
        </a:xfrm>
        <a:prstGeom prst="rect">
          <a:avLst/>
        </a:prstGeom>
      </xdr:spPr>
    </xdr:pic>
    <xdr:clientData/>
  </xdr:twoCellAnchor>
  <xdr:twoCellAnchor editAs="oneCell">
    <xdr:from>
      <xdr:col>16</xdr:col>
      <xdr:colOff>1507729</xdr:colOff>
      <xdr:row>0</xdr:row>
      <xdr:rowOff>178765</xdr:rowOff>
    </xdr:from>
    <xdr:to>
      <xdr:col>17</xdr:col>
      <xdr:colOff>212329</xdr:colOff>
      <xdr:row>0</xdr:row>
      <xdr:rowOff>1093165</xdr:rowOff>
    </xdr:to>
    <xdr:pic>
      <xdr:nvPicPr>
        <xdr:cNvPr id="21" name="Graphic 20" descr="Fuel with solid fill">
          <a:extLst>
            <a:ext uri="{FF2B5EF4-FFF2-40B4-BE49-F238E27FC236}">
              <a16:creationId xmlns:a16="http://schemas.microsoft.com/office/drawing/2014/main" id="{DD3F037B-4AC0-4E27-9675-0C3EABA37CE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9113104" y="178765"/>
          <a:ext cx="911225" cy="914400"/>
        </a:xfrm>
        <a:prstGeom prst="rect">
          <a:avLst/>
        </a:prstGeom>
      </xdr:spPr>
    </xdr:pic>
    <xdr:clientData/>
  </xdr:twoCellAnchor>
  <xdr:twoCellAnchor editAs="oneCell">
    <xdr:from>
      <xdr:col>23</xdr:col>
      <xdr:colOff>596901</xdr:colOff>
      <xdr:row>0</xdr:row>
      <xdr:rowOff>200478</xdr:rowOff>
    </xdr:from>
    <xdr:to>
      <xdr:col>23</xdr:col>
      <xdr:colOff>1511301</xdr:colOff>
      <xdr:row>0</xdr:row>
      <xdr:rowOff>1114878</xdr:rowOff>
    </xdr:to>
    <xdr:pic>
      <xdr:nvPicPr>
        <xdr:cNvPr id="22" name="Graphic 21" descr="Seeds with solid fill">
          <a:extLst>
            <a:ext uri="{FF2B5EF4-FFF2-40B4-BE49-F238E27FC236}">
              <a16:creationId xmlns:a16="http://schemas.microsoft.com/office/drawing/2014/main" id="{E6E20C9F-73B7-48CD-BD08-1FDF4578D6B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8203526" y="200478"/>
          <a:ext cx="914400" cy="914400"/>
        </a:xfrm>
        <a:prstGeom prst="rect">
          <a:avLst/>
        </a:prstGeom>
      </xdr:spPr>
    </xdr:pic>
    <xdr:clientData/>
  </xdr:twoCellAnchor>
  <xdr:twoCellAnchor editAs="oneCell">
    <xdr:from>
      <xdr:col>24</xdr:col>
      <xdr:colOff>1166000</xdr:colOff>
      <xdr:row>0</xdr:row>
      <xdr:rowOff>196263</xdr:rowOff>
    </xdr:from>
    <xdr:to>
      <xdr:col>25</xdr:col>
      <xdr:colOff>505601</xdr:colOff>
      <xdr:row>0</xdr:row>
      <xdr:rowOff>1110663</xdr:rowOff>
    </xdr:to>
    <xdr:pic>
      <xdr:nvPicPr>
        <xdr:cNvPr id="23" name="Graphic 22" descr="Wind Turbines with solid fill">
          <a:extLst>
            <a:ext uri="{FF2B5EF4-FFF2-40B4-BE49-F238E27FC236}">
              <a16:creationId xmlns:a16="http://schemas.microsoft.com/office/drawing/2014/main" id="{EF928288-ED49-40F2-930F-D781416891C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0582375" y="196263"/>
          <a:ext cx="895350" cy="914400"/>
        </a:xfrm>
        <a:prstGeom prst="rect">
          <a:avLst/>
        </a:prstGeom>
      </xdr:spPr>
    </xdr:pic>
    <xdr:clientData/>
  </xdr:twoCellAnchor>
  <xdr:twoCellAnchor editAs="oneCell">
    <xdr:from>
      <xdr:col>23</xdr:col>
      <xdr:colOff>1701537</xdr:colOff>
      <xdr:row>0</xdr:row>
      <xdr:rowOff>182979</xdr:rowOff>
    </xdr:from>
    <xdr:to>
      <xdr:col>24</xdr:col>
      <xdr:colOff>806186</xdr:colOff>
      <xdr:row>0</xdr:row>
      <xdr:rowOff>1097379</xdr:rowOff>
    </xdr:to>
    <xdr:pic>
      <xdr:nvPicPr>
        <xdr:cNvPr id="24" name="Graphic 23" descr="Solar Panels with solid fill">
          <a:extLst>
            <a:ext uri="{FF2B5EF4-FFF2-40B4-BE49-F238E27FC236}">
              <a16:creationId xmlns:a16="http://schemas.microsoft.com/office/drawing/2014/main" id="{B5B98434-6EBE-4F87-A6F9-11D0A0732D2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9308162" y="182979"/>
          <a:ext cx="914400" cy="914400"/>
        </a:xfrm>
        <a:prstGeom prst="rect">
          <a:avLst/>
        </a:prstGeom>
      </xdr:spPr>
    </xdr:pic>
    <xdr:clientData/>
  </xdr:twoCellAnchor>
  <xdr:twoCellAnchor editAs="oneCell">
    <xdr:from>
      <xdr:col>25</xdr:col>
      <xdr:colOff>852771</xdr:colOff>
      <xdr:row>0</xdr:row>
      <xdr:rowOff>205979</xdr:rowOff>
    </xdr:from>
    <xdr:to>
      <xdr:col>25</xdr:col>
      <xdr:colOff>1767171</xdr:colOff>
      <xdr:row>0</xdr:row>
      <xdr:rowOff>1120379</xdr:rowOff>
    </xdr:to>
    <xdr:pic>
      <xdr:nvPicPr>
        <xdr:cNvPr id="25" name="Graphic 24" descr="Renewable Energy with solid fill">
          <a:extLst>
            <a:ext uri="{FF2B5EF4-FFF2-40B4-BE49-F238E27FC236}">
              <a16:creationId xmlns:a16="http://schemas.microsoft.com/office/drawing/2014/main" id="{C9CDF9D8-70E8-443D-884A-913BD935DB5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824896" y="205979"/>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163286</xdr:colOff>
      <xdr:row>0</xdr:row>
      <xdr:rowOff>281214</xdr:rowOff>
    </xdr:from>
    <xdr:to>
      <xdr:col>1</xdr:col>
      <xdr:colOff>792786</xdr:colOff>
      <xdr:row>0</xdr:row>
      <xdr:rowOff>910714</xdr:rowOff>
    </xdr:to>
    <xdr:pic>
      <xdr:nvPicPr>
        <xdr:cNvPr id="10" name="Graphic 9" descr="Oil Rig with solid fill">
          <a:extLst>
            <a:ext uri="{FF2B5EF4-FFF2-40B4-BE49-F238E27FC236}">
              <a16:creationId xmlns:a16="http://schemas.microsoft.com/office/drawing/2014/main" id="{E5D879FD-79CF-4457-A4BA-983E296710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07357" y="281214"/>
          <a:ext cx="629500" cy="629500"/>
        </a:xfrm>
        <a:prstGeom prst="rect">
          <a:avLst/>
        </a:prstGeom>
      </xdr:spPr>
    </xdr:pic>
    <xdr:clientData/>
  </xdr:twoCellAnchor>
  <xdr:twoCellAnchor editAs="oneCell">
    <xdr:from>
      <xdr:col>1</xdr:col>
      <xdr:colOff>2281785</xdr:colOff>
      <xdr:row>0</xdr:row>
      <xdr:rowOff>240714</xdr:rowOff>
    </xdr:from>
    <xdr:to>
      <xdr:col>1</xdr:col>
      <xdr:colOff>2911285</xdr:colOff>
      <xdr:row>0</xdr:row>
      <xdr:rowOff>870214</xdr:rowOff>
    </xdr:to>
    <xdr:pic>
      <xdr:nvPicPr>
        <xdr:cNvPr id="11" name="Graphic 10" descr="Power Plant with solid fill">
          <a:extLst>
            <a:ext uri="{FF2B5EF4-FFF2-40B4-BE49-F238E27FC236}">
              <a16:creationId xmlns:a16="http://schemas.microsoft.com/office/drawing/2014/main" id="{FC5D9ACF-EC64-4D02-A295-87800D413C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925856" y="240714"/>
          <a:ext cx="629500" cy="629500"/>
        </a:xfrm>
        <a:prstGeom prst="rect">
          <a:avLst/>
        </a:prstGeom>
      </xdr:spPr>
    </xdr:pic>
    <xdr:clientData/>
  </xdr:twoCellAnchor>
  <xdr:twoCellAnchor editAs="oneCell">
    <xdr:from>
      <xdr:col>1</xdr:col>
      <xdr:colOff>1624429</xdr:colOff>
      <xdr:row>0</xdr:row>
      <xdr:rowOff>281858</xdr:rowOff>
    </xdr:from>
    <xdr:to>
      <xdr:col>1</xdr:col>
      <xdr:colOff>2253929</xdr:colOff>
      <xdr:row>0</xdr:row>
      <xdr:rowOff>911358</xdr:rowOff>
    </xdr:to>
    <xdr:pic>
      <xdr:nvPicPr>
        <xdr:cNvPr id="12" name="Graphic 11" descr="Fuel with solid fill">
          <a:extLst>
            <a:ext uri="{FF2B5EF4-FFF2-40B4-BE49-F238E27FC236}">
              <a16:creationId xmlns:a16="http://schemas.microsoft.com/office/drawing/2014/main" id="{C704CBBA-A3CB-44FD-BD81-9E69360F1A0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68500" y="281858"/>
          <a:ext cx="629500" cy="629500"/>
        </a:xfrm>
        <a:prstGeom prst="rect">
          <a:avLst/>
        </a:prstGeom>
      </xdr:spPr>
    </xdr:pic>
    <xdr:clientData/>
  </xdr:twoCellAnchor>
  <xdr:twoCellAnchor editAs="oneCell">
    <xdr:from>
      <xdr:col>1</xdr:col>
      <xdr:colOff>903572</xdr:colOff>
      <xdr:row>0</xdr:row>
      <xdr:rowOff>277643</xdr:rowOff>
    </xdr:from>
    <xdr:to>
      <xdr:col>1</xdr:col>
      <xdr:colOff>1533072</xdr:colOff>
      <xdr:row>0</xdr:row>
      <xdr:rowOff>907143</xdr:rowOff>
    </xdr:to>
    <xdr:pic>
      <xdr:nvPicPr>
        <xdr:cNvPr id="13" name="Graphic 12" descr="Fuel with solid fill">
          <a:extLst>
            <a:ext uri="{FF2B5EF4-FFF2-40B4-BE49-F238E27FC236}">
              <a16:creationId xmlns:a16="http://schemas.microsoft.com/office/drawing/2014/main" id="{85DCBEE0-7AA9-498E-9477-21FB1BB278E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47643" y="277643"/>
          <a:ext cx="629500" cy="629500"/>
        </a:xfrm>
        <a:prstGeom prst="rect">
          <a:avLst/>
        </a:prstGeom>
      </xdr:spPr>
    </xdr:pic>
    <xdr:clientData/>
  </xdr:twoCellAnchor>
  <xdr:twoCellAnchor editAs="oneCell">
    <xdr:from>
      <xdr:col>2</xdr:col>
      <xdr:colOff>2694215</xdr:colOff>
      <xdr:row>0</xdr:row>
      <xdr:rowOff>290284</xdr:rowOff>
    </xdr:from>
    <xdr:to>
      <xdr:col>2</xdr:col>
      <xdr:colOff>3323715</xdr:colOff>
      <xdr:row>0</xdr:row>
      <xdr:rowOff>919784</xdr:rowOff>
    </xdr:to>
    <xdr:pic>
      <xdr:nvPicPr>
        <xdr:cNvPr id="14" name="Graphic 13" descr="Seeds with solid fill">
          <a:extLst>
            <a:ext uri="{FF2B5EF4-FFF2-40B4-BE49-F238E27FC236}">
              <a16:creationId xmlns:a16="http://schemas.microsoft.com/office/drawing/2014/main" id="{0EA95232-B66F-41B2-AF5F-C52E3C3E07E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107715" y="290284"/>
          <a:ext cx="629500" cy="629500"/>
        </a:xfrm>
        <a:prstGeom prst="rect">
          <a:avLst/>
        </a:prstGeom>
      </xdr:spPr>
    </xdr:pic>
    <xdr:clientData/>
  </xdr:twoCellAnchor>
  <xdr:twoCellAnchor editAs="oneCell">
    <xdr:from>
      <xdr:col>2</xdr:col>
      <xdr:colOff>4195857</xdr:colOff>
      <xdr:row>0</xdr:row>
      <xdr:rowOff>258855</xdr:rowOff>
    </xdr:from>
    <xdr:to>
      <xdr:col>2</xdr:col>
      <xdr:colOff>4825357</xdr:colOff>
      <xdr:row>0</xdr:row>
      <xdr:rowOff>888355</xdr:rowOff>
    </xdr:to>
    <xdr:pic>
      <xdr:nvPicPr>
        <xdr:cNvPr id="15" name="Graphic 14" descr="Wind Turbines with solid fill">
          <a:extLst>
            <a:ext uri="{FF2B5EF4-FFF2-40B4-BE49-F238E27FC236}">
              <a16:creationId xmlns:a16="http://schemas.microsoft.com/office/drawing/2014/main" id="{E7C8F2ED-12BF-4419-9A4D-B101270D117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609357" y="258855"/>
          <a:ext cx="629500" cy="629500"/>
        </a:xfrm>
        <a:prstGeom prst="rect">
          <a:avLst/>
        </a:prstGeom>
      </xdr:spPr>
    </xdr:pic>
    <xdr:clientData/>
  </xdr:twoCellAnchor>
  <xdr:twoCellAnchor editAs="oneCell">
    <xdr:from>
      <xdr:col>2</xdr:col>
      <xdr:colOff>3447787</xdr:colOff>
      <xdr:row>0</xdr:row>
      <xdr:rowOff>272785</xdr:rowOff>
    </xdr:from>
    <xdr:to>
      <xdr:col>2</xdr:col>
      <xdr:colOff>4077287</xdr:colOff>
      <xdr:row>0</xdr:row>
      <xdr:rowOff>902285</xdr:rowOff>
    </xdr:to>
    <xdr:pic>
      <xdr:nvPicPr>
        <xdr:cNvPr id="16" name="Graphic 15" descr="Solar Panels with solid fill">
          <a:extLst>
            <a:ext uri="{FF2B5EF4-FFF2-40B4-BE49-F238E27FC236}">
              <a16:creationId xmlns:a16="http://schemas.microsoft.com/office/drawing/2014/main" id="{FE322C19-7E04-4457-9055-50A1E391D58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61287" y="272785"/>
          <a:ext cx="629500" cy="629500"/>
        </a:xfrm>
        <a:prstGeom prst="rect">
          <a:avLst/>
        </a:prstGeom>
      </xdr:spPr>
    </xdr:pic>
    <xdr:clientData/>
  </xdr:twoCellAnchor>
  <xdr:twoCellAnchor editAs="oneCell">
    <xdr:from>
      <xdr:col>2</xdr:col>
      <xdr:colOff>4985714</xdr:colOff>
      <xdr:row>0</xdr:row>
      <xdr:rowOff>277643</xdr:rowOff>
    </xdr:from>
    <xdr:to>
      <xdr:col>2</xdr:col>
      <xdr:colOff>5615214</xdr:colOff>
      <xdr:row>0</xdr:row>
      <xdr:rowOff>907143</xdr:rowOff>
    </xdr:to>
    <xdr:pic>
      <xdr:nvPicPr>
        <xdr:cNvPr id="17" name="Graphic 16" descr="Renewable Energy with solid fill">
          <a:extLst>
            <a:ext uri="{FF2B5EF4-FFF2-40B4-BE49-F238E27FC236}">
              <a16:creationId xmlns:a16="http://schemas.microsoft.com/office/drawing/2014/main" id="{B0B9808E-92AC-4F0A-88EE-4E68A59236E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399214" y="277643"/>
          <a:ext cx="629500" cy="629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500568</xdr:colOff>
      <xdr:row>13</xdr:row>
      <xdr:rowOff>188027</xdr:rowOff>
    </xdr:from>
    <xdr:to>
      <xdr:col>12</xdr:col>
      <xdr:colOff>390237</xdr:colOff>
      <xdr:row>24</xdr:row>
      <xdr:rowOff>270492</xdr:rowOff>
    </xdr:to>
    <xdr:pic>
      <xdr:nvPicPr>
        <xdr:cNvPr id="2" name="Picture 1">
          <a:extLst>
            <a:ext uri="{FF2B5EF4-FFF2-40B4-BE49-F238E27FC236}">
              <a16:creationId xmlns:a16="http://schemas.microsoft.com/office/drawing/2014/main" id="{253B7265-42BE-0B2A-9F9D-2921C2228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971477" y="5221845"/>
          <a:ext cx="8283215" cy="46379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1789545</xdr:colOff>
      <xdr:row>0</xdr:row>
      <xdr:rowOff>0</xdr:rowOff>
    </xdr:from>
    <xdr:to>
      <xdr:col>1</xdr:col>
      <xdr:colOff>2703945</xdr:colOff>
      <xdr:row>0</xdr:row>
      <xdr:rowOff>914400</xdr:rowOff>
    </xdr:to>
    <xdr:pic>
      <xdr:nvPicPr>
        <xdr:cNvPr id="3" name="Graphic 2" descr="Oil Rig with solid fill">
          <a:extLst>
            <a:ext uri="{FF2B5EF4-FFF2-40B4-BE49-F238E27FC236}">
              <a16:creationId xmlns:a16="http://schemas.microsoft.com/office/drawing/2014/main" id="{9C63E51B-AEEC-4B3B-B757-A18DBC0B950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36090" y="0"/>
          <a:ext cx="914400" cy="914400"/>
        </a:xfrm>
        <a:prstGeom prst="rect">
          <a:avLst/>
        </a:prstGeom>
      </xdr:spPr>
    </xdr:pic>
    <xdr:clientData/>
  </xdr:twoCellAnchor>
  <xdr:twoCellAnchor editAs="oneCell">
    <xdr:from>
      <xdr:col>2</xdr:col>
      <xdr:colOff>1879466</xdr:colOff>
      <xdr:row>0</xdr:row>
      <xdr:rowOff>97220</xdr:rowOff>
    </xdr:from>
    <xdr:to>
      <xdr:col>2</xdr:col>
      <xdr:colOff>2774816</xdr:colOff>
      <xdr:row>0</xdr:row>
      <xdr:rowOff>1011620</xdr:rowOff>
    </xdr:to>
    <xdr:pic>
      <xdr:nvPicPr>
        <xdr:cNvPr id="4" name="Graphic 3" descr="Power Plant with solid fill">
          <a:extLst>
            <a:ext uri="{FF2B5EF4-FFF2-40B4-BE49-F238E27FC236}">
              <a16:creationId xmlns:a16="http://schemas.microsoft.com/office/drawing/2014/main" id="{ACC3B42F-F071-4AA8-A607-80F78231EDA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839557" y="97220"/>
          <a:ext cx="895350" cy="914400"/>
        </a:xfrm>
        <a:prstGeom prst="rect">
          <a:avLst/>
        </a:prstGeom>
      </xdr:spPr>
    </xdr:pic>
    <xdr:clientData/>
  </xdr:twoCellAnchor>
  <xdr:twoCellAnchor editAs="oneCell">
    <xdr:from>
      <xdr:col>2</xdr:col>
      <xdr:colOff>804824</xdr:colOff>
      <xdr:row>0</xdr:row>
      <xdr:rowOff>9715</xdr:rowOff>
    </xdr:from>
    <xdr:to>
      <xdr:col>2</xdr:col>
      <xdr:colOff>1719224</xdr:colOff>
      <xdr:row>0</xdr:row>
      <xdr:rowOff>924115</xdr:rowOff>
    </xdr:to>
    <xdr:pic>
      <xdr:nvPicPr>
        <xdr:cNvPr id="5" name="Graphic 4" descr="Fuel with solid fill">
          <a:extLst>
            <a:ext uri="{FF2B5EF4-FFF2-40B4-BE49-F238E27FC236}">
              <a16:creationId xmlns:a16="http://schemas.microsoft.com/office/drawing/2014/main" id="{3118F309-F59C-4DEB-90A8-C741B9C2B9E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764915" y="9715"/>
          <a:ext cx="914400" cy="914400"/>
        </a:xfrm>
        <a:prstGeom prst="rect">
          <a:avLst/>
        </a:prstGeom>
      </xdr:spPr>
    </xdr:pic>
    <xdr:clientData/>
  </xdr:twoCellAnchor>
  <xdr:twoCellAnchor editAs="oneCell">
    <xdr:from>
      <xdr:col>1</xdr:col>
      <xdr:colOff>2992474</xdr:colOff>
      <xdr:row>0</xdr:row>
      <xdr:rowOff>32715</xdr:rowOff>
    </xdr:from>
    <xdr:to>
      <xdr:col>2</xdr:col>
      <xdr:colOff>590153</xdr:colOff>
      <xdr:row>0</xdr:row>
      <xdr:rowOff>947115</xdr:rowOff>
    </xdr:to>
    <xdr:pic>
      <xdr:nvPicPr>
        <xdr:cNvPr id="6" name="Graphic 5" descr="Fuel with solid fill">
          <a:extLst>
            <a:ext uri="{FF2B5EF4-FFF2-40B4-BE49-F238E27FC236}">
              <a16:creationId xmlns:a16="http://schemas.microsoft.com/office/drawing/2014/main" id="{2A16BCD5-E4DF-43FE-BF56-465C73196E7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639019" y="32715"/>
          <a:ext cx="911225" cy="914400"/>
        </a:xfrm>
        <a:prstGeom prst="rect">
          <a:avLst/>
        </a:prstGeom>
      </xdr:spPr>
    </xdr:pic>
    <xdr:clientData/>
  </xdr:twoCellAnchor>
  <xdr:twoCellAnchor editAs="oneCell">
    <xdr:from>
      <xdr:col>4</xdr:col>
      <xdr:colOff>2823441</xdr:colOff>
      <xdr:row>0</xdr:row>
      <xdr:rowOff>54428</xdr:rowOff>
    </xdr:from>
    <xdr:to>
      <xdr:col>5</xdr:col>
      <xdr:colOff>424296</xdr:colOff>
      <xdr:row>0</xdr:row>
      <xdr:rowOff>968828</xdr:rowOff>
    </xdr:to>
    <xdr:pic>
      <xdr:nvPicPr>
        <xdr:cNvPr id="7" name="Graphic 6" descr="Seeds with solid fill">
          <a:extLst>
            <a:ext uri="{FF2B5EF4-FFF2-40B4-BE49-F238E27FC236}">
              <a16:creationId xmlns:a16="http://schemas.microsoft.com/office/drawing/2014/main" id="{5726CCB0-C612-4078-8F75-4F0150422E1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729441" y="54428"/>
          <a:ext cx="914400" cy="914400"/>
        </a:xfrm>
        <a:prstGeom prst="rect">
          <a:avLst/>
        </a:prstGeom>
      </xdr:spPr>
    </xdr:pic>
    <xdr:clientData/>
  </xdr:twoCellAnchor>
  <xdr:twoCellAnchor editAs="oneCell">
    <xdr:from>
      <xdr:col>5</xdr:col>
      <xdr:colOff>1888745</xdr:colOff>
      <xdr:row>0</xdr:row>
      <xdr:rowOff>50213</xdr:rowOff>
    </xdr:from>
    <xdr:to>
      <xdr:col>6</xdr:col>
      <xdr:colOff>867549</xdr:colOff>
      <xdr:row>0</xdr:row>
      <xdr:rowOff>964613</xdr:rowOff>
    </xdr:to>
    <xdr:pic>
      <xdr:nvPicPr>
        <xdr:cNvPr id="8" name="Graphic 7" descr="Wind Turbines with solid fill">
          <a:extLst>
            <a:ext uri="{FF2B5EF4-FFF2-40B4-BE49-F238E27FC236}">
              <a16:creationId xmlns:a16="http://schemas.microsoft.com/office/drawing/2014/main" id="{EAD8529D-A6B5-4E24-A979-BFB75F138B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108290" y="50213"/>
          <a:ext cx="895350" cy="914400"/>
        </a:xfrm>
        <a:prstGeom prst="rect">
          <a:avLst/>
        </a:prstGeom>
      </xdr:spPr>
    </xdr:pic>
    <xdr:clientData/>
  </xdr:twoCellAnchor>
  <xdr:twoCellAnchor editAs="oneCell">
    <xdr:from>
      <xdr:col>5</xdr:col>
      <xdr:colOff>614532</xdr:colOff>
      <xdr:row>0</xdr:row>
      <xdr:rowOff>36929</xdr:rowOff>
    </xdr:from>
    <xdr:to>
      <xdr:col>5</xdr:col>
      <xdr:colOff>1528932</xdr:colOff>
      <xdr:row>0</xdr:row>
      <xdr:rowOff>951329</xdr:rowOff>
    </xdr:to>
    <xdr:pic>
      <xdr:nvPicPr>
        <xdr:cNvPr id="9" name="Graphic 8" descr="Solar Panels with solid fill">
          <a:extLst>
            <a:ext uri="{FF2B5EF4-FFF2-40B4-BE49-F238E27FC236}">
              <a16:creationId xmlns:a16="http://schemas.microsoft.com/office/drawing/2014/main" id="{252C394C-1339-4FC7-B2C6-C74E3C44CAB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834077" y="36929"/>
          <a:ext cx="914400" cy="914400"/>
        </a:xfrm>
        <a:prstGeom prst="rect">
          <a:avLst/>
        </a:prstGeom>
      </xdr:spPr>
    </xdr:pic>
    <xdr:clientData/>
  </xdr:twoCellAnchor>
  <xdr:twoCellAnchor editAs="oneCell">
    <xdr:from>
      <xdr:col>6</xdr:col>
      <xdr:colOff>1214720</xdr:colOff>
      <xdr:row>0</xdr:row>
      <xdr:rowOff>59929</xdr:rowOff>
    </xdr:from>
    <xdr:to>
      <xdr:col>7</xdr:col>
      <xdr:colOff>212575</xdr:colOff>
      <xdr:row>0</xdr:row>
      <xdr:rowOff>974329</xdr:rowOff>
    </xdr:to>
    <xdr:pic>
      <xdr:nvPicPr>
        <xdr:cNvPr id="10" name="Graphic 9" descr="Renewable Energy with solid fill">
          <a:extLst>
            <a:ext uri="{FF2B5EF4-FFF2-40B4-BE49-F238E27FC236}">
              <a16:creationId xmlns:a16="http://schemas.microsoft.com/office/drawing/2014/main" id="{6589919E-484F-4BDD-9C6A-B4A260CA924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350811" y="59929"/>
          <a:ext cx="914400" cy="914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3371273</xdr:colOff>
      <xdr:row>0</xdr:row>
      <xdr:rowOff>0</xdr:rowOff>
    </xdr:from>
    <xdr:to>
      <xdr:col>2</xdr:col>
      <xdr:colOff>152400</xdr:colOff>
      <xdr:row>0</xdr:row>
      <xdr:rowOff>914400</xdr:rowOff>
    </xdr:to>
    <xdr:pic>
      <xdr:nvPicPr>
        <xdr:cNvPr id="10" name="Graphic 9" descr="Oil Rig with solid fill">
          <a:extLst>
            <a:ext uri="{FF2B5EF4-FFF2-40B4-BE49-F238E27FC236}">
              <a16:creationId xmlns:a16="http://schemas.microsoft.com/office/drawing/2014/main" id="{02B6D03E-0D76-4FD8-BC7D-4421EFD5A4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17818" y="0"/>
          <a:ext cx="914400" cy="914400"/>
        </a:xfrm>
        <a:prstGeom prst="rect">
          <a:avLst/>
        </a:prstGeom>
      </xdr:spPr>
    </xdr:pic>
    <xdr:clientData/>
  </xdr:twoCellAnchor>
  <xdr:twoCellAnchor editAs="oneCell">
    <xdr:from>
      <xdr:col>2</xdr:col>
      <xdr:colOff>2641467</xdr:colOff>
      <xdr:row>0</xdr:row>
      <xdr:rowOff>4857</xdr:rowOff>
    </xdr:from>
    <xdr:to>
      <xdr:col>3</xdr:col>
      <xdr:colOff>685090</xdr:colOff>
      <xdr:row>0</xdr:row>
      <xdr:rowOff>919257</xdr:rowOff>
    </xdr:to>
    <xdr:pic>
      <xdr:nvPicPr>
        <xdr:cNvPr id="11" name="Graphic 10" descr="Power Plant with solid fill">
          <a:extLst>
            <a:ext uri="{FF2B5EF4-FFF2-40B4-BE49-F238E27FC236}">
              <a16:creationId xmlns:a16="http://schemas.microsoft.com/office/drawing/2014/main" id="{EED10864-2FB9-41A2-BBBF-CF949264109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21285" y="4857"/>
          <a:ext cx="895350" cy="914400"/>
        </a:xfrm>
        <a:prstGeom prst="rect">
          <a:avLst/>
        </a:prstGeom>
      </xdr:spPr>
    </xdr:pic>
    <xdr:clientData/>
  </xdr:twoCellAnchor>
  <xdr:twoCellAnchor editAs="oneCell">
    <xdr:from>
      <xdr:col>2</xdr:col>
      <xdr:colOff>1566825</xdr:colOff>
      <xdr:row>0</xdr:row>
      <xdr:rowOff>9715</xdr:rowOff>
    </xdr:from>
    <xdr:to>
      <xdr:col>2</xdr:col>
      <xdr:colOff>2481225</xdr:colOff>
      <xdr:row>1</xdr:row>
      <xdr:rowOff>479</xdr:rowOff>
    </xdr:to>
    <xdr:pic>
      <xdr:nvPicPr>
        <xdr:cNvPr id="12" name="Graphic 11" descr="Fuel with solid fill">
          <a:extLst>
            <a:ext uri="{FF2B5EF4-FFF2-40B4-BE49-F238E27FC236}">
              <a16:creationId xmlns:a16="http://schemas.microsoft.com/office/drawing/2014/main" id="{F7F75B51-37B5-495B-B627-C5BCCA0408E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46643" y="9715"/>
          <a:ext cx="914400" cy="914400"/>
        </a:xfrm>
        <a:prstGeom prst="rect">
          <a:avLst/>
        </a:prstGeom>
      </xdr:spPr>
    </xdr:pic>
    <xdr:clientData/>
  </xdr:twoCellAnchor>
  <xdr:twoCellAnchor editAs="oneCell">
    <xdr:from>
      <xdr:col>2</xdr:col>
      <xdr:colOff>440929</xdr:colOff>
      <xdr:row>0</xdr:row>
      <xdr:rowOff>32715</xdr:rowOff>
    </xdr:from>
    <xdr:to>
      <xdr:col>2</xdr:col>
      <xdr:colOff>1352154</xdr:colOff>
      <xdr:row>1</xdr:row>
      <xdr:rowOff>23479</xdr:rowOff>
    </xdr:to>
    <xdr:pic>
      <xdr:nvPicPr>
        <xdr:cNvPr id="13" name="Graphic 12" descr="Fuel with solid fill">
          <a:extLst>
            <a:ext uri="{FF2B5EF4-FFF2-40B4-BE49-F238E27FC236}">
              <a16:creationId xmlns:a16="http://schemas.microsoft.com/office/drawing/2014/main" id="{684E312E-F38E-45F0-86E1-41775043386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220747" y="32715"/>
          <a:ext cx="911225" cy="914400"/>
        </a:xfrm>
        <a:prstGeom prst="rect">
          <a:avLst/>
        </a:prstGeom>
      </xdr:spPr>
    </xdr:pic>
    <xdr:clientData/>
  </xdr:twoCellAnchor>
  <xdr:twoCellAnchor editAs="oneCell">
    <xdr:from>
      <xdr:col>5</xdr:col>
      <xdr:colOff>953078</xdr:colOff>
      <xdr:row>0</xdr:row>
      <xdr:rowOff>54428</xdr:rowOff>
    </xdr:from>
    <xdr:to>
      <xdr:col>5</xdr:col>
      <xdr:colOff>1867478</xdr:colOff>
      <xdr:row>1</xdr:row>
      <xdr:rowOff>45192</xdr:rowOff>
    </xdr:to>
    <xdr:pic>
      <xdr:nvPicPr>
        <xdr:cNvPr id="14" name="Graphic 13" descr="Seeds with solid fill">
          <a:extLst>
            <a:ext uri="{FF2B5EF4-FFF2-40B4-BE49-F238E27FC236}">
              <a16:creationId xmlns:a16="http://schemas.microsoft.com/office/drawing/2014/main" id="{BAFEAA39-F838-483F-9B08-FD2AEC42179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311169" y="54428"/>
          <a:ext cx="914400" cy="914400"/>
        </a:xfrm>
        <a:prstGeom prst="rect">
          <a:avLst/>
        </a:prstGeom>
      </xdr:spPr>
    </xdr:pic>
    <xdr:clientData/>
  </xdr:twoCellAnchor>
  <xdr:twoCellAnchor editAs="oneCell">
    <xdr:from>
      <xdr:col>6</xdr:col>
      <xdr:colOff>1115200</xdr:colOff>
      <xdr:row>0</xdr:row>
      <xdr:rowOff>50213</xdr:rowOff>
    </xdr:from>
    <xdr:to>
      <xdr:col>6</xdr:col>
      <xdr:colOff>2010550</xdr:colOff>
      <xdr:row>1</xdr:row>
      <xdr:rowOff>40977</xdr:rowOff>
    </xdr:to>
    <xdr:pic>
      <xdr:nvPicPr>
        <xdr:cNvPr id="15" name="Graphic 14" descr="Wind Turbines with solid fill">
          <a:extLst>
            <a:ext uri="{FF2B5EF4-FFF2-40B4-BE49-F238E27FC236}">
              <a16:creationId xmlns:a16="http://schemas.microsoft.com/office/drawing/2014/main" id="{8E42ED92-ED3C-45D6-921F-87AAD8CF6FE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6690018" y="50213"/>
          <a:ext cx="895350" cy="914400"/>
        </a:xfrm>
        <a:prstGeom prst="rect">
          <a:avLst/>
        </a:prstGeom>
      </xdr:spPr>
    </xdr:pic>
    <xdr:clientData/>
  </xdr:twoCellAnchor>
  <xdr:twoCellAnchor editAs="oneCell">
    <xdr:from>
      <xdr:col>5</xdr:col>
      <xdr:colOff>2057714</xdr:colOff>
      <xdr:row>0</xdr:row>
      <xdr:rowOff>36929</xdr:rowOff>
    </xdr:from>
    <xdr:to>
      <xdr:col>6</xdr:col>
      <xdr:colOff>755387</xdr:colOff>
      <xdr:row>1</xdr:row>
      <xdr:rowOff>27693</xdr:rowOff>
    </xdr:to>
    <xdr:pic>
      <xdr:nvPicPr>
        <xdr:cNvPr id="16" name="Graphic 15" descr="Solar Panels with solid fill">
          <a:extLst>
            <a:ext uri="{FF2B5EF4-FFF2-40B4-BE49-F238E27FC236}">
              <a16:creationId xmlns:a16="http://schemas.microsoft.com/office/drawing/2014/main" id="{E7AB38D5-9EFA-4F16-927C-528934CFFF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415805" y="36929"/>
          <a:ext cx="914400" cy="914400"/>
        </a:xfrm>
        <a:prstGeom prst="rect">
          <a:avLst/>
        </a:prstGeom>
      </xdr:spPr>
    </xdr:pic>
    <xdr:clientData/>
  </xdr:twoCellAnchor>
  <xdr:twoCellAnchor editAs="oneCell">
    <xdr:from>
      <xdr:col>7</xdr:col>
      <xdr:colOff>140994</xdr:colOff>
      <xdr:row>0</xdr:row>
      <xdr:rowOff>59929</xdr:rowOff>
    </xdr:from>
    <xdr:to>
      <xdr:col>7</xdr:col>
      <xdr:colOff>1055394</xdr:colOff>
      <xdr:row>1</xdr:row>
      <xdr:rowOff>50693</xdr:rowOff>
    </xdr:to>
    <xdr:pic>
      <xdr:nvPicPr>
        <xdr:cNvPr id="17" name="Graphic 16" descr="Renewable Energy with solid fill">
          <a:extLst>
            <a:ext uri="{FF2B5EF4-FFF2-40B4-BE49-F238E27FC236}">
              <a16:creationId xmlns:a16="http://schemas.microsoft.com/office/drawing/2014/main" id="{48703CDA-87ED-41EE-AE99-E34E40AB16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932539" y="59929"/>
          <a:ext cx="914400" cy="914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678089</xdr:colOff>
      <xdr:row>0</xdr:row>
      <xdr:rowOff>0</xdr:rowOff>
    </xdr:from>
    <xdr:to>
      <xdr:col>2</xdr:col>
      <xdr:colOff>1592489</xdr:colOff>
      <xdr:row>0</xdr:row>
      <xdr:rowOff>914400</xdr:rowOff>
    </xdr:to>
    <xdr:pic>
      <xdr:nvPicPr>
        <xdr:cNvPr id="2" name="Graphic 1" descr="Oil Rig with solid fill">
          <a:extLst>
            <a:ext uri="{FF2B5EF4-FFF2-40B4-BE49-F238E27FC236}">
              <a16:creationId xmlns:a16="http://schemas.microsoft.com/office/drawing/2014/main" id="{1158DFE9-7614-47B9-8AE8-1D6DE4D4CF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58732" y="0"/>
          <a:ext cx="914400" cy="914400"/>
        </a:xfrm>
        <a:prstGeom prst="rect">
          <a:avLst/>
        </a:prstGeom>
      </xdr:spPr>
    </xdr:pic>
    <xdr:clientData/>
  </xdr:twoCellAnchor>
  <xdr:twoCellAnchor editAs="oneCell">
    <xdr:from>
      <xdr:col>3</xdr:col>
      <xdr:colOff>1224056</xdr:colOff>
      <xdr:row>0</xdr:row>
      <xdr:rowOff>4857</xdr:rowOff>
    </xdr:from>
    <xdr:to>
      <xdr:col>3</xdr:col>
      <xdr:colOff>2119406</xdr:colOff>
      <xdr:row>0</xdr:row>
      <xdr:rowOff>919257</xdr:rowOff>
    </xdr:to>
    <xdr:pic>
      <xdr:nvPicPr>
        <xdr:cNvPr id="3" name="Graphic 2" descr="Power Plant with solid fill">
          <a:extLst>
            <a:ext uri="{FF2B5EF4-FFF2-40B4-BE49-F238E27FC236}">
              <a16:creationId xmlns:a16="http://schemas.microsoft.com/office/drawing/2014/main" id="{909DBF58-3942-4E59-A184-822C182C545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862199" y="4857"/>
          <a:ext cx="895350" cy="914400"/>
        </a:xfrm>
        <a:prstGeom prst="rect">
          <a:avLst/>
        </a:prstGeom>
      </xdr:spPr>
    </xdr:pic>
    <xdr:clientData/>
  </xdr:twoCellAnchor>
  <xdr:twoCellAnchor editAs="oneCell">
    <xdr:from>
      <xdr:col>3</xdr:col>
      <xdr:colOff>149414</xdr:colOff>
      <xdr:row>0</xdr:row>
      <xdr:rowOff>9715</xdr:rowOff>
    </xdr:from>
    <xdr:to>
      <xdr:col>3</xdr:col>
      <xdr:colOff>1063814</xdr:colOff>
      <xdr:row>1</xdr:row>
      <xdr:rowOff>3365</xdr:rowOff>
    </xdr:to>
    <xdr:pic>
      <xdr:nvPicPr>
        <xdr:cNvPr id="4" name="Graphic 3" descr="Fuel with solid fill">
          <a:extLst>
            <a:ext uri="{FF2B5EF4-FFF2-40B4-BE49-F238E27FC236}">
              <a16:creationId xmlns:a16="http://schemas.microsoft.com/office/drawing/2014/main" id="{B39E2483-4753-4DA2-BFC0-56DFEC5EFED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787557" y="9715"/>
          <a:ext cx="914400" cy="918936"/>
        </a:xfrm>
        <a:prstGeom prst="rect">
          <a:avLst/>
        </a:prstGeom>
      </xdr:spPr>
    </xdr:pic>
    <xdr:clientData/>
  </xdr:twoCellAnchor>
  <xdr:twoCellAnchor editAs="oneCell">
    <xdr:from>
      <xdr:col>2</xdr:col>
      <xdr:colOff>1881018</xdr:colOff>
      <xdr:row>0</xdr:row>
      <xdr:rowOff>32715</xdr:rowOff>
    </xdr:from>
    <xdr:to>
      <xdr:col>2</xdr:col>
      <xdr:colOff>2792243</xdr:colOff>
      <xdr:row>1</xdr:row>
      <xdr:rowOff>26365</xdr:rowOff>
    </xdr:to>
    <xdr:pic>
      <xdr:nvPicPr>
        <xdr:cNvPr id="5" name="Graphic 4" descr="Fuel with solid fill">
          <a:extLst>
            <a:ext uri="{FF2B5EF4-FFF2-40B4-BE49-F238E27FC236}">
              <a16:creationId xmlns:a16="http://schemas.microsoft.com/office/drawing/2014/main" id="{3DF09710-1B38-4DFA-AEB1-3CAB9140A71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661661" y="32715"/>
          <a:ext cx="911225" cy="918936"/>
        </a:xfrm>
        <a:prstGeom prst="rect">
          <a:avLst/>
        </a:prstGeom>
      </xdr:spPr>
    </xdr:pic>
    <xdr:clientData/>
  </xdr:twoCellAnchor>
  <xdr:twoCellAnchor editAs="oneCell">
    <xdr:from>
      <xdr:col>5</xdr:col>
      <xdr:colOff>2398940</xdr:colOff>
      <xdr:row>0</xdr:row>
      <xdr:rowOff>54428</xdr:rowOff>
    </xdr:from>
    <xdr:to>
      <xdr:col>6</xdr:col>
      <xdr:colOff>455840</xdr:colOff>
      <xdr:row>1</xdr:row>
      <xdr:rowOff>48078</xdr:rowOff>
    </xdr:to>
    <xdr:pic>
      <xdr:nvPicPr>
        <xdr:cNvPr id="6" name="Graphic 5" descr="Seeds with solid fill">
          <a:extLst>
            <a:ext uri="{FF2B5EF4-FFF2-40B4-BE49-F238E27FC236}">
              <a16:creationId xmlns:a16="http://schemas.microsoft.com/office/drawing/2014/main" id="{B13CAB51-C966-4F00-BC6B-6F2269A9392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752083" y="54428"/>
          <a:ext cx="923471" cy="918936"/>
        </a:xfrm>
        <a:prstGeom prst="rect">
          <a:avLst/>
        </a:prstGeom>
      </xdr:spPr>
    </xdr:pic>
    <xdr:clientData/>
  </xdr:twoCellAnchor>
  <xdr:twoCellAnchor editAs="oneCell">
    <xdr:from>
      <xdr:col>6</xdr:col>
      <xdr:colOff>1920289</xdr:colOff>
      <xdr:row>0</xdr:row>
      <xdr:rowOff>50213</xdr:rowOff>
    </xdr:from>
    <xdr:to>
      <xdr:col>6</xdr:col>
      <xdr:colOff>2815639</xdr:colOff>
      <xdr:row>1</xdr:row>
      <xdr:rowOff>43863</xdr:rowOff>
    </xdr:to>
    <xdr:pic>
      <xdr:nvPicPr>
        <xdr:cNvPr id="7" name="Graphic 6" descr="Wind Turbines with solid fill">
          <a:extLst>
            <a:ext uri="{FF2B5EF4-FFF2-40B4-BE49-F238E27FC236}">
              <a16:creationId xmlns:a16="http://schemas.microsoft.com/office/drawing/2014/main" id="{7B234F88-54F4-4999-B18D-4178C5662F0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8140003" y="50213"/>
          <a:ext cx="895350" cy="918936"/>
        </a:xfrm>
        <a:prstGeom prst="rect">
          <a:avLst/>
        </a:prstGeom>
      </xdr:spPr>
    </xdr:pic>
    <xdr:clientData/>
  </xdr:twoCellAnchor>
  <xdr:twoCellAnchor editAs="oneCell">
    <xdr:from>
      <xdr:col>6</xdr:col>
      <xdr:colOff>646076</xdr:colOff>
      <xdr:row>0</xdr:row>
      <xdr:rowOff>36929</xdr:rowOff>
    </xdr:from>
    <xdr:to>
      <xdr:col>6</xdr:col>
      <xdr:colOff>1560476</xdr:colOff>
      <xdr:row>1</xdr:row>
      <xdr:rowOff>30579</xdr:rowOff>
    </xdr:to>
    <xdr:pic>
      <xdr:nvPicPr>
        <xdr:cNvPr id="8" name="Graphic 7" descr="Solar Panels with solid fill">
          <a:extLst>
            <a:ext uri="{FF2B5EF4-FFF2-40B4-BE49-F238E27FC236}">
              <a16:creationId xmlns:a16="http://schemas.microsoft.com/office/drawing/2014/main" id="{BE2BD62E-EFAA-42C7-8395-5B870D11CB5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865790" y="36929"/>
          <a:ext cx="914400" cy="918936"/>
        </a:xfrm>
        <a:prstGeom prst="rect">
          <a:avLst/>
        </a:prstGeom>
      </xdr:spPr>
    </xdr:pic>
    <xdr:clientData/>
  </xdr:twoCellAnchor>
  <xdr:twoCellAnchor editAs="oneCell">
    <xdr:from>
      <xdr:col>7</xdr:col>
      <xdr:colOff>296238</xdr:colOff>
      <xdr:row>0</xdr:row>
      <xdr:rowOff>59929</xdr:rowOff>
    </xdr:from>
    <xdr:to>
      <xdr:col>7</xdr:col>
      <xdr:colOff>1219710</xdr:colOff>
      <xdr:row>1</xdr:row>
      <xdr:rowOff>53579</xdr:rowOff>
    </xdr:to>
    <xdr:pic>
      <xdr:nvPicPr>
        <xdr:cNvPr id="9" name="Graphic 8" descr="Renewable Energy with solid fill">
          <a:extLst>
            <a:ext uri="{FF2B5EF4-FFF2-40B4-BE49-F238E27FC236}">
              <a16:creationId xmlns:a16="http://schemas.microsoft.com/office/drawing/2014/main" id="{617F59E2-177A-4187-B5AD-5A3A7A0D4AF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9382524" y="59929"/>
          <a:ext cx="923472" cy="9189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542636</xdr:colOff>
      <xdr:row>0</xdr:row>
      <xdr:rowOff>0</xdr:rowOff>
    </xdr:from>
    <xdr:to>
      <xdr:col>2</xdr:col>
      <xdr:colOff>1457036</xdr:colOff>
      <xdr:row>0</xdr:row>
      <xdr:rowOff>914400</xdr:rowOff>
    </xdr:to>
    <xdr:pic>
      <xdr:nvPicPr>
        <xdr:cNvPr id="2" name="Graphic 1" descr="Oil Rig with solid fill">
          <a:extLst>
            <a:ext uri="{FF2B5EF4-FFF2-40B4-BE49-F238E27FC236}">
              <a16:creationId xmlns:a16="http://schemas.microsoft.com/office/drawing/2014/main" id="{522206F1-C979-4424-BEC8-1DDF11DFE6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322454" y="0"/>
          <a:ext cx="914400" cy="914400"/>
        </a:xfrm>
        <a:prstGeom prst="rect">
          <a:avLst/>
        </a:prstGeom>
      </xdr:spPr>
    </xdr:pic>
    <xdr:clientData/>
  </xdr:twoCellAnchor>
  <xdr:twoCellAnchor editAs="oneCell">
    <xdr:from>
      <xdr:col>3</xdr:col>
      <xdr:colOff>1082830</xdr:colOff>
      <xdr:row>0</xdr:row>
      <xdr:rowOff>4857</xdr:rowOff>
    </xdr:from>
    <xdr:to>
      <xdr:col>3</xdr:col>
      <xdr:colOff>1978180</xdr:colOff>
      <xdr:row>0</xdr:row>
      <xdr:rowOff>919257</xdr:rowOff>
    </xdr:to>
    <xdr:pic>
      <xdr:nvPicPr>
        <xdr:cNvPr id="3" name="Graphic 2" descr="Power Plant with solid fill">
          <a:extLst>
            <a:ext uri="{FF2B5EF4-FFF2-40B4-BE49-F238E27FC236}">
              <a16:creationId xmlns:a16="http://schemas.microsoft.com/office/drawing/2014/main" id="{09A89569-78A4-4E80-B9E5-D076F887BD7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725921" y="4857"/>
          <a:ext cx="895350" cy="914400"/>
        </a:xfrm>
        <a:prstGeom prst="rect">
          <a:avLst/>
        </a:prstGeom>
      </xdr:spPr>
    </xdr:pic>
    <xdr:clientData/>
  </xdr:twoCellAnchor>
  <xdr:twoCellAnchor editAs="oneCell">
    <xdr:from>
      <xdr:col>3</xdr:col>
      <xdr:colOff>8188</xdr:colOff>
      <xdr:row>0</xdr:row>
      <xdr:rowOff>9715</xdr:rowOff>
    </xdr:from>
    <xdr:to>
      <xdr:col>3</xdr:col>
      <xdr:colOff>922588</xdr:colOff>
      <xdr:row>1</xdr:row>
      <xdr:rowOff>479</xdr:rowOff>
    </xdr:to>
    <xdr:pic>
      <xdr:nvPicPr>
        <xdr:cNvPr id="4" name="Graphic 3" descr="Fuel with solid fill">
          <a:extLst>
            <a:ext uri="{FF2B5EF4-FFF2-40B4-BE49-F238E27FC236}">
              <a16:creationId xmlns:a16="http://schemas.microsoft.com/office/drawing/2014/main" id="{AD57609A-5C4A-4282-9B70-72688BCD0C6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51279" y="9715"/>
          <a:ext cx="914400" cy="914400"/>
        </a:xfrm>
        <a:prstGeom prst="rect">
          <a:avLst/>
        </a:prstGeom>
      </xdr:spPr>
    </xdr:pic>
    <xdr:clientData/>
  </xdr:twoCellAnchor>
  <xdr:twoCellAnchor editAs="oneCell">
    <xdr:from>
      <xdr:col>2</xdr:col>
      <xdr:colOff>1745565</xdr:colOff>
      <xdr:row>0</xdr:row>
      <xdr:rowOff>32715</xdr:rowOff>
    </xdr:from>
    <xdr:to>
      <xdr:col>2</xdr:col>
      <xdr:colOff>2656790</xdr:colOff>
      <xdr:row>1</xdr:row>
      <xdr:rowOff>23479</xdr:rowOff>
    </xdr:to>
    <xdr:pic>
      <xdr:nvPicPr>
        <xdr:cNvPr id="5" name="Graphic 4" descr="Fuel with solid fill">
          <a:extLst>
            <a:ext uri="{FF2B5EF4-FFF2-40B4-BE49-F238E27FC236}">
              <a16:creationId xmlns:a16="http://schemas.microsoft.com/office/drawing/2014/main" id="{37011AB3-E570-48D4-A85E-87B6C1C90B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525383" y="32715"/>
          <a:ext cx="911225" cy="914400"/>
        </a:xfrm>
        <a:prstGeom prst="rect">
          <a:avLst/>
        </a:prstGeom>
      </xdr:spPr>
    </xdr:pic>
    <xdr:clientData/>
  </xdr:twoCellAnchor>
  <xdr:twoCellAnchor editAs="oneCell">
    <xdr:from>
      <xdr:col>5</xdr:col>
      <xdr:colOff>2246169</xdr:colOff>
      <xdr:row>0</xdr:row>
      <xdr:rowOff>54428</xdr:rowOff>
    </xdr:from>
    <xdr:to>
      <xdr:col>6</xdr:col>
      <xdr:colOff>262660</xdr:colOff>
      <xdr:row>1</xdr:row>
      <xdr:rowOff>45192</xdr:rowOff>
    </xdr:to>
    <xdr:pic>
      <xdr:nvPicPr>
        <xdr:cNvPr id="6" name="Graphic 5" descr="Seeds with solid fill">
          <a:extLst>
            <a:ext uri="{FF2B5EF4-FFF2-40B4-BE49-F238E27FC236}">
              <a16:creationId xmlns:a16="http://schemas.microsoft.com/office/drawing/2014/main" id="{D658A070-02F3-4040-8D0A-2FC9430AFE3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615805" y="54428"/>
          <a:ext cx="914400" cy="914400"/>
        </a:xfrm>
        <a:prstGeom prst="rect">
          <a:avLst/>
        </a:prstGeom>
      </xdr:spPr>
    </xdr:pic>
    <xdr:clientData/>
  </xdr:twoCellAnchor>
  <xdr:twoCellAnchor editAs="oneCell">
    <xdr:from>
      <xdr:col>6</xdr:col>
      <xdr:colOff>1727109</xdr:colOff>
      <xdr:row>0</xdr:row>
      <xdr:rowOff>50213</xdr:rowOff>
    </xdr:from>
    <xdr:to>
      <xdr:col>6</xdr:col>
      <xdr:colOff>2622459</xdr:colOff>
      <xdr:row>1</xdr:row>
      <xdr:rowOff>40977</xdr:rowOff>
    </xdr:to>
    <xdr:pic>
      <xdr:nvPicPr>
        <xdr:cNvPr id="7" name="Graphic 6" descr="Wind Turbines with solid fill">
          <a:extLst>
            <a:ext uri="{FF2B5EF4-FFF2-40B4-BE49-F238E27FC236}">
              <a16:creationId xmlns:a16="http://schemas.microsoft.com/office/drawing/2014/main" id="{69AFA559-DAA2-4B17-9A24-D33813D0BD2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994654" y="50213"/>
          <a:ext cx="895350" cy="914400"/>
        </a:xfrm>
        <a:prstGeom prst="rect">
          <a:avLst/>
        </a:prstGeom>
      </xdr:spPr>
    </xdr:pic>
    <xdr:clientData/>
  </xdr:twoCellAnchor>
  <xdr:twoCellAnchor editAs="oneCell">
    <xdr:from>
      <xdr:col>6</xdr:col>
      <xdr:colOff>452896</xdr:colOff>
      <xdr:row>0</xdr:row>
      <xdr:rowOff>36929</xdr:rowOff>
    </xdr:from>
    <xdr:to>
      <xdr:col>6</xdr:col>
      <xdr:colOff>1367296</xdr:colOff>
      <xdr:row>1</xdr:row>
      <xdr:rowOff>27693</xdr:rowOff>
    </xdr:to>
    <xdr:pic>
      <xdr:nvPicPr>
        <xdr:cNvPr id="8" name="Graphic 7" descr="Solar Panels with solid fill">
          <a:extLst>
            <a:ext uri="{FF2B5EF4-FFF2-40B4-BE49-F238E27FC236}">
              <a16:creationId xmlns:a16="http://schemas.microsoft.com/office/drawing/2014/main" id="{B3157710-E467-4FAE-8203-1551D20632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720441" y="36929"/>
          <a:ext cx="914400" cy="914400"/>
        </a:xfrm>
        <a:prstGeom prst="rect">
          <a:avLst/>
        </a:prstGeom>
      </xdr:spPr>
    </xdr:pic>
    <xdr:clientData/>
  </xdr:twoCellAnchor>
  <xdr:twoCellAnchor editAs="oneCell">
    <xdr:from>
      <xdr:col>7</xdr:col>
      <xdr:colOff>71720</xdr:colOff>
      <xdr:row>0</xdr:row>
      <xdr:rowOff>59929</xdr:rowOff>
    </xdr:from>
    <xdr:to>
      <xdr:col>7</xdr:col>
      <xdr:colOff>986120</xdr:colOff>
      <xdr:row>1</xdr:row>
      <xdr:rowOff>50693</xdr:rowOff>
    </xdr:to>
    <xdr:pic>
      <xdr:nvPicPr>
        <xdr:cNvPr id="9" name="Graphic 8" descr="Renewable Energy with solid fill">
          <a:extLst>
            <a:ext uri="{FF2B5EF4-FFF2-40B4-BE49-F238E27FC236}">
              <a16:creationId xmlns:a16="http://schemas.microsoft.com/office/drawing/2014/main" id="{187FFDA3-87A4-4980-BFFC-85CD6300F25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9237175" y="59929"/>
          <a:ext cx="914400" cy="9144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539750</xdr:colOff>
      <xdr:row>0</xdr:row>
      <xdr:rowOff>0</xdr:rowOff>
    </xdr:from>
    <xdr:to>
      <xdr:col>2</xdr:col>
      <xdr:colOff>1454150</xdr:colOff>
      <xdr:row>0</xdr:row>
      <xdr:rowOff>914400</xdr:rowOff>
    </xdr:to>
    <xdr:pic>
      <xdr:nvPicPr>
        <xdr:cNvPr id="2" name="Graphic 1" descr="Oil Rig with solid fill">
          <a:extLst>
            <a:ext uri="{FF2B5EF4-FFF2-40B4-BE49-F238E27FC236}">
              <a16:creationId xmlns:a16="http://schemas.microsoft.com/office/drawing/2014/main" id="{980DE63A-FDE1-4F82-B801-592BE999C8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302250" y="0"/>
          <a:ext cx="914400" cy="914400"/>
        </a:xfrm>
        <a:prstGeom prst="rect">
          <a:avLst/>
        </a:prstGeom>
      </xdr:spPr>
    </xdr:pic>
    <xdr:clientData/>
  </xdr:twoCellAnchor>
  <xdr:twoCellAnchor editAs="oneCell">
    <xdr:from>
      <xdr:col>3</xdr:col>
      <xdr:colOff>1085717</xdr:colOff>
      <xdr:row>0</xdr:row>
      <xdr:rowOff>4857</xdr:rowOff>
    </xdr:from>
    <xdr:to>
      <xdr:col>3</xdr:col>
      <xdr:colOff>1981067</xdr:colOff>
      <xdr:row>0</xdr:row>
      <xdr:rowOff>919257</xdr:rowOff>
    </xdr:to>
    <xdr:pic>
      <xdr:nvPicPr>
        <xdr:cNvPr id="3" name="Graphic 2" descr="Power Plant with solid fill">
          <a:extLst>
            <a:ext uri="{FF2B5EF4-FFF2-40B4-BE49-F238E27FC236}">
              <a16:creationId xmlns:a16="http://schemas.microsoft.com/office/drawing/2014/main" id="{F8536FB0-1CEE-4815-A463-1CBC3835BA3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705717" y="4857"/>
          <a:ext cx="895350" cy="914400"/>
        </a:xfrm>
        <a:prstGeom prst="rect">
          <a:avLst/>
        </a:prstGeom>
      </xdr:spPr>
    </xdr:pic>
    <xdr:clientData/>
  </xdr:twoCellAnchor>
  <xdr:twoCellAnchor editAs="oneCell">
    <xdr:from>
      <xdr:col>3</xdr:col>
      <xdr:colOff>11075</xdr:colOff>
      <xdr:row>0</xdr:row>
      <xdr:rowOff>9715</xdr:rowOff>
    </xdr:from>
    <xdr:to>
      <xdr:col>3</xdr:col>
      <xdr:colOff>925475</xdr:colOff>
      <xdr:row>1</xdr:row>
      <xdr:rowOff>3365</xdr:rowOff>
    </xdr:to>
    <xdr:pic>
      <xdr:nvPicPr>
        <xdr:cNvPr id="4" name="Graphic 3" descr="Fuel with solid fill">
          <a:extLst>
            <a:ext uri="{FF2B5EF4-FFF2-40B4-BE49-F238E27FC236}">
              <a16:creationId xmlns:a16="http://schemas.microsoft.com/office/drawing/2014/main" id="{A6D74A9C-2542-4A56-8F8C-E6DA1104BCF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31075" y="9715"/>
          <a:ext cx="914400" cy="914400"/>
        </a:xfrm>
        <a:prstGeom prst="rect">
          <a:avLst/>
        </a:prstGeom>
      </xdr:spPr>
    </xdr:pic>
    <xdr:clientData/>
  </xdr:twoCellAnchor>
  <xdr:twoCellAnchor editAs="oneCell">
    <xdr:from>
      <xdr:col>2</xdr:col>
      <xdr:colOff>1742679</xdr:colOff>
      <xdr:row>0</xdr:row>
      <xdr:rowOff>32715</xdr:rowOff>
    </xdr:from>
    <xdr:to>
      <xdr:col>2</xdr:col>
      <xdr:colOff>2653904</xdr:colOff>
      <xdr:row>1</xdr:row>
      <xdr:rowOff>26365</xdr:rowOff>
    </xdr:to>
    <xdr:pic>
      <xdr:nvPicPr>
        <xdr:cNvPr id="5" name="Graphic 4" descr="Fuel with solid fill">
          <a:extLst>
            <a:ext uri="{FF2B5EF4-FFF2-40B4-BE49-F238E27FC236}">
              <a16:creationId xmlns:a16="http://schemas.microsoft.com/office/drawing/2014/main" id="{B683EAF8-22A1-44F6-B0C3-A415AEC9EF4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505179" y="32715"/>
          <a:ext cx="911225" cy="914400"/>
        </a:xfrm>
        <a:prstGeom prst="rect">
          <a:avLst/>
        </a:prstGeom>
      </xdr:spPr>
    </xdr:pic>
    <xdr:clientData/>
  </xdr:twoCellAnchor>
  <xdr:twoCellAnchor editAs="oneCell">
    <xdr:from>
      <xdr:col>5</xdr:col>
      <xdr:colOff>2260601</xdr:colOff>
      <xdr:row>0</xdr:row>
      <xdr:rowOff>54428</xdr:rowOff>
    </xdr:from>
    <xdr:to>
      <xdr:col>6</xdr:col>
      <xdr:colOff>333376</xdr:colOff>
      <xdr:row>1</xdr:row>
      <xdr:rowOff>48078</xdr:rowOff>
    </xdr:to>
    <xdr:pic>
      <xdr:nvPicPr>
        <xdr:cNvPr id="6" name="Graphic 5" descr="Seeds with solid fill">
          <a:extLst>
            <a:ext uri="{FF2B5EF4-FFF2-40B4-BE49-F238E27FC236}">
              <a16:creationId xmlns:a16="http://schemas.microsoft.com/office/drawing/2014/main" id="{91A880DD-1F1D-405E-AF40-B50AE602B1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595601" y="54428"/>
          <a:ext cx="914400" cy="914400"/>
        </a:xfrm>
        <a:prstGeom prst="rect">
          <a:avLst/>
        </a:prstGeom>
      </xdr:spPr>
    </xdr:pic>
    <xdr:clientData/>
  </xdr:twoCellAnchor>
  <xdr:twoCellAnchor editAs="oneCell">
    <xdr:from>
      <xdr:col>6</xdr:col>
      <xdr:colOff>1797825</xdr:colOff>
      <xdr:row>0</xdr:row>
      <xdr:rowOff>50213</xdr:rowOff>
    </xdr:from>
    <xdr:to>
      <xdr:col>6</xdr:col>
      <xdr:colOff>2693175</xdr:colOff>
      <xdr:row>1</xdr:row>
      <xdr:rowOff>43863</xdr:rowOff>
    </xdr:to>
    <xdr:pic>
      <xdr:nvPicPr>
        <xdr:cNvPr id="7" name="Graphic 6" descr="Wind Turbines with solid fill">
          <a:extLst>
            <a:ext uri="{FF2B5EF4-FFF2-40B4-BE49-F238E27FC236}">
              <a16:creationId xmlns:a16="http://schemas.microsoft.com/office/drawing/2014/main" id="{B8E1F080-FC60-48F8-A887-72B0E28E865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974450" y="50213"/>
          <a:ext cx="895350" cy="914400"/>
        </a:xfrm>
        <a:prstGeom prst="rect">
          <a:avLst/>
        </a:prstGeom>
      </xdr:spPr>
    </xdr:pic>
    <xdr:clientData/>
  </xdr:twoCellAnchor>
  <xdr:twoCellAnchor editAs="oneCell">
    <xdr:from>
      <xdr:col>6</xdr:col>
      <xdr:colOff>523612</xdr:colOff>
      <xdr:row>0</xdr:row>
      <xdr:rowOff>36929</xdr:rowOff>
    </xdr:from>
    <xdr:to>
      <xdr:col>6</xdr:col>
      <xdr:colOff>1438012</xdr:colOff>
      <xdr:row>1</xdr:row>
      <xdr:rowOff>30579</xdr:rowOff>
    </xdr:to>
    <xdr:pic>
      <xdr:nvPicPr>
        <xdr:cNvPr id="8" name="Graphic 7" descr="Solar Panels with solid fill">
          <a:extLst>
            <a:ext uri="{FF2B5EF4-FFF2-40B4-BE49-F238E27FC236}">
              <a16:creationId xmlns:a16="http://schemas.microsoft.com/office/drawing/2014/main" id="{01B116A2-11C0-4BFD-AB48-0FC776D23B0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700237" y="36929"/>
          <a:ext cx="914400" cy="914400"/>
        </a:xfrm>
        <a:prstGeom prst="rect">
          <a:avLst/>
        </a:prstGeom>
      </xdr:spPr>
    </xdr:pic>
    <xdr:clientData/>
  </xdr:twoCellAnchor>
  <xdr:twoCellAnchor editAs="oneCell">
    <xdr:from>
      <xdr:col>7</xdr:col>
      <xdr:colOff>198721</xdr:colOff>
      <xdr:row>0</xdr:row>
      <xdr:rowOff>59929</xdr:rowOff>
    </xdr:from>
    <xdr:to>
      <xdr:col>7</xdr:col>
      <xdr:colOff>1113121</xdr:colOff>
      <xdr:row>1</xdr:row>
      <xdr:rowOff>53579</xdr:rowOff>
    </xdr:to>
    <xdr:pic>
      <xdr:nvPicPr>
        <xdr:cNvPr id="9" name="Graphic 8" descr="Renewable Energy with solid fill">
          <a:extLst>
            <a:ext uri="{FF2B5EF4-FFF2-40B4-BE49-F238E27FC236}">
              <a16:creationId xmlns:a16="http://schemas.microsoft.com/office/drawing/2014/main" id="{4FB686E3-B263-4C0E-AE36-845A5371D26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9216971" y="59929"/>
          <a:ext cx="914400" cy="9144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1057275</xdr:colOff>
      <xdr:row>7</xdr:row>
      <xdr:rowOff>539750</xdr:rowOff>
    </xdr:from>
    <xdr:to>
      <xdr:col>8</xdr:col>
      <xdr:colOff>536575</xdr:colOff>
      <xdr:row>18</xdr:row>
      <xdr:rowOff>149225</xdr:rowOff>
    </xdr:to>
    <xdr:graphicFrame macro="">
      <xdr:nvGraphicFramePr>
        <xdr:cNvPr id="2" name="Chart 1">
          <a:extLst>
            <a:ext uri="{FF2B5EF4-FFF2-40B4-BE49-F238E27FC236}">
              <a16:creationId xmlns:a16="http://schemas.microsoft.com/office/drawing/2014/main" id="{26011179-0EDD-4398-809A-F7D590F8E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1063625</xdr:colOff>
      <xdr:row>18</xdr:row>
      <xdr:rowOff>381000</xdr:rowOff>
    </xdr:from>
    <xdr:to>
      <xdr:col>29</xdr:col>
      <xdr:colOff>482600</xdr:colOff>
      <xdr:row>38</xdr:row>
      <xdr:rowOff>304800</xdr:rowOff>
    </xdr:to>
    <xdr:graphicFrame macro="">
      <xdr:nvGraphicFramePr>
        <xdr:cNvPr id="3" name="Chart 2">
          <a:extLst>
            <a:ext uri="{FF2B5EF4-FFF2-40B4-BE49-F238E27FC236}">
              <a16:creationId xmlns:a16="http://schemas.microsoft.com/office/drawing/2014/main" id="{FEDFC455-D1EB-4433-B789-812F479C6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1854200</xdr:colOff>
      <xdr:row>0</xdr:row>
      <xdr:rowOff>0</xdr:rowOff>
    </xdr:from>
    <xdr:to>
      <xdr:col>2</xdr:col>
      <xdr:colOff>2768600</xdr:colOff>
      <xdr:row>0</xdr:row>
      <xdr:rowOff>914400</xdr:rowOff>
    </xdr:to>
    <xdr:pic>
      <xdr:nvPicPr>
        <xdr:cNvPr id="4" name="Graphic 3" descr="Oil Rig with solid fill">
          <a:extLst>
            <a:ext uri="{FF2B5EF4-FFF2-40B4-BE49-F238E27FC236}">
              <a16:creationId xmlns:a16="http://schemas.microsoft.com/office/drawing/2014/main" id="{954D584D-1B35-4832-8554-3E138389BB4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604000" y="0"/>
          <a:ext cx="914400" cy="914400"/>
        </a:xfrm>
        <a:prstGeom prst="rect">
          <a:avLst/>
        </a:prstGeom>
      </xdr:spPr>
    </xdr:pic>
    <xdr:clientData/>
  </xdr:twoCellAnchor>
  <xdr:twoCellAnchor editAs="oneCell">
    <xdr:from>
      <xdr:col>2</xdr:col>
      <xdr:colOff>5257667</xdr:colOff>
      <xdr:row>0</xdr:row>
      <xdr:rowOff>4857</xdr:rowOff>
    </xdr:from>
    <xdr:to>
      <xdr:col>2</xdr:col>
      <xdr:colOff>6153017</xdr:colOff>
      <xdr:row>0</xdr:row>
      <xdr:rowOff>919257</xdr:rowOff>
    </xdr:to>
    <xdr:pic>
      <xdr:nvPicPr>
        <xdr:cNvPr id="5" name="Graphic 4" descr="Power Plant with solid fill">
          <a:extLst>
            <a:ext uri="{FF2B5EF4-FFF2-40B4-BE49-F238E27FC236}">
              <a16:creationId xmlns:a16="http://schemas.microsoft.com/office/drawing/2014/main" id="{9A646B7A-B814-4F6F-AD9F-CB6850CD1D2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007467" y="4857"/>
          <a:ext cx="895350" cy="914400"/>
        </a:xfrm>
        <a:prstGeom prst="rect">
          <a:avLst/>
        </a:prstGeom>
      </xdr:spPr>
    </xdr:pic>
    <xdr:clientData/>
  </xdr:twoCellAnchor>
  <xdr:twoCellAnchor editAs="oneCell">
    <xdr:from>
      <xdr:col>2</xdr:col>
      <xdr:colOff>4183025</xdr:colOff>
      <xdr:row>0</xdr:row>
      <xdr:rowOff>9715</xdr:rowOff>
    </xdr:from>
    <xdr:to>
      <xdr:col>2</xdr:col>
      <xdr:colOff>5097425</xdr:colOff>
      <xdr:row>1</xdr:row>
      <xdr:rowOff>3365</xdr:rowOff>
    </xdr:to>
    <xdr:pic>
      <xdr:nvPicPr>
        <xdr:cNvPr id="6" name="Graphic 5" descr="Fuel with solid fill">
          <a:extLst>
            <a:ext uri="{FF2B5EF4-FFF2-40B4-BE49-F238E27FC236}">
              <a16:creationId xmlns:a16="http://schemas.microsoft.com/office/drawing/2014/main" id="{E87527C6-B490-4734-B160-3D7AFF4BD3D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932825" y="9715"/>
          <a:ext cx="914400" cy="914400"/>
        </a:xfrm>
        <a:prstGeom prst="rect">
          <a:avLst/>
        </a:prstGeom>
      </xdr:spPr>
    </xdr:pic>
    <xdr:clientData/>
  </xdr:twoCellAnchor>
  <xdr:twoCellAnchor editAs="oneCell">
    <xdr:from>
      <xdr:col>2</xdr:col>
      <xdr:colOff>3057129</xdr:colOff>
      <xdr:row>0</xdr:row>
      <xdr:rowOff>32715</xdr:rowOff>
    </xdr:from>
    <xdr:to>
      <xdr:col>2</xdr:col>
      <xdr:colOff>3968354</xdr:colOff>
      <xdr:row>1</xdr:row>
      <xdr:rowOff>7315</xdr:rowOff>
    </xdr:to>
    <xdr:pic>
      <xdr:nvPicPr>
        <xdr:cNvPr id="7" name="Graphic 6" descr="Fuel with solid fill">
          <a:extLst>
            <a:ext uri="{FF2B5EF4-FFF2-40B4-BE49-F238E27FC236}">
              <a16:creationId xmlns:a16="http://schemas.microsoft.com/office/drawing/2014/main" id="{CE60EF88-B342-4228-8D31-87D9A075EF2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06929" y="32715"/>
          <a:ext cx="911225" cy="914400"/>
        </a:xfrm>
        <a:prstGeom prst="rect">
          <a:avLst/>
        </a:prstGeom>
      </xdr:spPr>
    </xdr:pic>
    <xdr:clientData/>
  </xdr:twoCellAnchor>
  <xdr:twoCellAnchor editAs="oneCell">
    <xdr:from>
      <xdr:col>4</xdr:col>
      <xdr:colOff>2317751</xdr:colOff>
      <xdr:row>0</xdr:row>
      <xdr:rowOff>54428</xdr:rowOff>
    </xdr:from>
    <xdr:to>
      <xdr:col>4</xdr:col>
      <xdr:colOff>3232151</xdr:colOff>
      <xdr:row>1</xdr:row>
      <xdr:rowOff>29028</xdr:rowOff>
    </xdr:to>
    <xdr:pic>
      <xdr:nvPicPr>
        <xdr:cNvPr id="8" name="Graphic 7" descr="Seeds with solid fill">
          <a:extLst>
            <a:ext uri="{FF2B5EF4-FFF2-40B4-BE49-F238E27FC236}">
              <a16:creationId xmlns:a16="http://schemas.microsoft.com/office/drawing/2014/main" id="{975C561D-DC7B-42B3-8795-C2144505C3B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6897351" y="54428"/>
          <a:ext cx="914400" cy="914400"/>
        </a:xfrm>
        <a:prstGeom prst="rect">
          <a:avLst/>
        </a:prstGeom>
      </xdr:spPr>
    </xdr:pic>
    <xdr:clientData/>
  </xdr:twoCellAnchor>
  <xdr:twoCellAnchor editAs="oneCell">
    <xdr:from>
      <xdr:col>5</xdr:col>
      <xdr:colOff>1394600</xdr:colOff>
      <xdr:row>0</xdr:row>
      <xdr:rowOff>50213</xdr:rowOff>
    </xdr:from>
    <xdr:to>
      <xdr:col>5</xdr:col>
      <xdr:colOff>2289950</xdr:colOff>
      <xdr:row>1</xdr:row>
      <xdr:rowOff>24813</xdr:rowOff>
    </xdr:to>
    <xdr:pic>
      <xdr:nvPicPr>
        <xdr:cNvPr id="9" name="Graphic 8" descr="Wind Turbines with solid fill">
          <a:extLst>
            <a:ext uri="{FF2B5EF4-FFF2-40B4-BE49-F238E27FC236}">
              <a16:creationId xmlns:a16="http://schemas.microsoft.com/office/drawing/2014/main" id="{4603B1F3-CACA-4C1A-BF9C-5006262C143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9276200" y="50213"/>
          <a:ext cx="895350" cy="914400"/>
        </a:xfrm>
        <a:prstGeom prst="rect">
          <a:avLst/>
        </a:prstGeom>
      </xdr:spPr>
    </xdr:pic>
    <xdr:clientData/>
  </xdr:twoCellAnchor>
  <xdr:twoCellAnchor editAs="oneCell">
    <xdr:from>
      <xdr:col>5</xdr:col>
      <xdr:colOff>120387</xdr:colOff>
      <xdr:row>0</xdr:row>
      <xdr:rowOff>36929</xdr:rowOff>
    </xdr:from>
    <xdr:to>
      <xdr:col>5</xdr:col>
      <xdr:colOff>1034787</xdr:colOff>
      <xdr:row>1</xdr:row>
      <xdr:rowOff>11529</xdr:rowOff>
    </xdr:to>
    <xdr:pic>
      <xdr:nvPicPr>
        <xdr:cNvPr id="10" name="Graphic 9" descr="Solar Panels with solid fill">
          <a:extLst>
            <a:ext uri="{FF2B5EF4-FFF2-40B4-BE49-F238E27FC236}">
              <a16:creationId xmlns:a16="http://schemas.microsoft.com/office/drawing/2014/main" id="{4CC37210-0BA2-43C9-A83B-6B28B664036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8001987" y="36929"/>
          <a:ext cx="914400" cy="914400"/>
        </a:xfrm>
        <a:prstGeom prst="rect">
          <a:avLst/>
        </a:prstGeom>
      </xdr:spPr>
    </xdr:pic>
    <xdr:clientData/>
  </xdr:twoCellAnchor>
  <xdr:twoCellAnchor editAs="oneCell">
    <xdr:from>
      <xdr:col>5</xdr:col>
      <xdr:colOff>2637121</xdr:colOff>
      <xdr:row>0</xdr:row>
      <xdr:rowOff>59929</xdr:rowOff>
    </xdr:from>
    <xdr:to>
      <xdr:col>6</xdr:col>
      <xdr:colOff>52671</xdr:colOff>
      <xdr:row>1</xdr:row>
      <xdr:rowOff>34529</xdr:rowOff>
    </xdr:to>
    <xdr:pic>
      <xdr:nvPicPr>
        <xdr:cNvPr id="11" name="Graphic 10" descr="Renewable Energy with solid fill">
          <a:extLst>
            <a:ext uri="{FF2B5EF4-FFF2-40B4-BE49-F238E27FC236}">
              <a16:creationId xmlns:a16="http://schemas.microsoft.com/office/drawing/2014/main" id="{2C8DA338-37D9-4548-9CC7-A5F505C8673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0518721" y="59929"/>
          <a:ext cx="914400" cy="914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587374</xdr:colOff>
      <xdr:row>34</xdr:row>
      <xdr:rowOff>296861</xdr:rowOff>
    </xdr:from>
    <xdr:to>
      <xdr:col>24</xdr:col>
      <xdr:colOff>0</xdr:colOff>
      <xdr:row>56</xdr:row>
      <xdr:rowOff>279400</xdr:rowOff>
    </xdr:to>
    <xdr:graphicFrame macro="">
      <xdr:nvGraphicFramePr>
        <xdr:cNvPr id="12" name="Chart 11">
          <a:extLst>
            <a:ext uri="{FF2B5EF4-FFF2-40B4-BE49-F238E27FC236}">
              <a16:creationId xmlns:a16="http://schemas.microsoft.com/office/drawing/2014/main" id="{B33A09C9-A024-7B85-BB06-5948A96E8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584200</xdr:colOff>
      <xdr:row>58</xdr:row>
      <xdr:rowOff>76200</xdr:rowOff>
    </xdr:from>
    <xdr:to>
      <xdr:col>24</xdr:col>
      <xdr:colOff>50800</xdr:colOff>
      <xdr:row>80</xdr:row>
      <xdr:rowOff>0</xdr:rowOff>
    </xdr:to>
    <xdr:graphicFrame macro="">
      <xdr:nvGraphicFramePr>
        <xdr:cNvPr id="17" name="Chart 16">
          <a:extLst>
            <a:ext uri="{FF2B5EF4-FFF2-40B4-BE49-F238E27FC236}">
              <a16:creationId xmlns:a16="http://schemas.microsoft.com/office/drawing/2014/main" id="{7E12FE14-FD64-47BA-96C8-EF5DBB3FDC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2809875</xdr:colOff>
      <xdr:row>0</xdr:row>
      <xdr:rowOff>0</xdr:rowOff>
    </xdr:from>
    <xdr:to>
      <xdr:col>2</xdr:col>
      <xdr:colOff>3724275</xdr:colOff>
      <xdr:row>0</xdr:row>
      <xdr:rowOff>914400</xdr:rowOff>
    </xdr:to>
    <xdr:pic>
      <xdr:nvPicPr>
        <xdr:cNvPr id="3" name="Graphic 2" descr="Oil Rig with solid fill">
          <a:extLst>
            <a:ext uri="{FF2B5EF4-FFF2-40B4-BE49-F238E27FC236}">
              <a16:creationId xmlns:a16="http://schemas.microsoft.com/office/drawing/2014/main" id="{F5E28594-2559-43C2-9054-C6D82B6BCCD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65875" y="0"/>
          <a:ext cx="914400" cy="914400"/>
        </a:xfrm>
        <a:prstGeom prst="rect">
          <a:avLst/>
        </a:prstGeom>
      </xdr:spPr>
    </xdr:pic>
    <xdr:clientData/>
  </xdr:twoCellAnchor>
  <xdr:twoCellAnchor editAs="oneCell">
    <xdr:from>
      <xdr:col>2</xdr:col>
      <xdr:colOff>6213342</xdr:colOff>
      <xdr:row>0</xdr:row>
      <xdr:rowOff>4857</xdr:rowOff>
    </xdr:from>
    <xdr:to>
      <xdr:col>3</xdr:col>
      <xdr:colOff>218942</xdr:colOff>
      <xdr:row>0</xdr:row>
      <xdr:rowOff>919257</xdr:rowOff>
    </xdr:to>
    <xdr:pic>
      <xdr:nvPicPr>
        <xdr:cNvPr id="5" name="Graphic 4" descr="Power Plant with solid fill">
          <a:extLst>
            <a:ext uri="{FF2B5EF4-FFF2-40B4-BE49-F238E27FC236}">
              <a16:creationId xmlns:a16="http://schemas.microsoft.com/office/drawing/2014/main" id="{BCC8878F-4519-468D-A1B4-1CBAC2AF2EC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769342" y="4857"/>
          <a:ext cx="895350" cy="914400"/>
        </a:xfrm>
        <a:prstGeom prst="rect">
          <a:avLst/>
        </a:prstGeom>
      </xdr:spPr>
    </xdr:pic>
    <xdr:clientData/>
  </xdr:twoCellAnchor>
  <xdr:twoCellAnchor editAs="oneCell">
    <xdr:from>
      <xdr:col>2</xdr:col>
      <xdr:colOff>5138700</xdr:colOff>
      <xdr:row>0</xdr:row>
      <xdr:rowOff>9715</xdr:rowOff>
    </xdr:from>
    <xdr:to>
      <xdr:col>2</xdr:col>
      <xdr:colOff>6053100</xdr:colOff>
      <xdr:row>1</xdr:row>
      <xdr:rowOff>3365</xdr:rowOff>
    </xdr:to>
    <xdr:pic>
      <xdr:nvPicPr>
        <xdr:cNvPr id="6" name="Graphic 5" descr="Fuel with solid fill">
          <a:extLst>
            <a:ext uri="{FF2B5EF4-FFF2-40B4-BE49-F238E27FC236}">
              <a16:creationId xmlns:a16="http://schemas.microsoft.com/office/drawing/2014/main" id="{4CA4C488-F564-4F0B-BC71-78DF47A93BA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694700" y="9715"/>
          <a:ext cx="914400" cy="914400"/>
        </a:xfrm>
        <a:prstGeom prst="rect">
          <a:avLst/>
        </a:prstGeom>
      </xdr:spPr>
    </xdr:pic>
    <xdr:clientData/>
  </xdr:twoCellAnchor>
  <xdr:twoCellAnchor editAs="oneCell">
    <xdr:from>
      <xdr:col>2</xdr:col>
      <xdr:colOff>4012804</xdr:colOff>
      <xdr:row>0</xdr:row>
      <xdr:rowOff>32715</xdr:rowOff>
    </xdr:from>
    <xdr:to>
      <xdr:col>2</xdr:col>
      <xdr:colOff>4924029</xdr:colOff>
      <xdr:row>1</xdr:row>
      <xdr:rowOff>26365</xdr:rowOff>
    </xdr:to>
    <xdr:pic>
      <xdr:nvPicPr>
        <xdr:cNvPr id="7" name="Graphic 6" descr="Fuel with solid fill">
          <a:extLst>
            <a:ext uri="{FF2B5EF4-FFF2-40B4-BE49-F238E27FC236}">
              <a16:creationId xmlns:a16="http://schemas.microsoft.com/office/drawing/2014/main" id="{611C6E8B-5953-4BC8-A94F-9CC8366AFD7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568804" y="32715"/>
          <a:ext cx="911225" cy="914400"/>
        </a:xfrm>
        <a:prstGeom prst="rect">
          <a:avLst/>
        </a:prstGeom>
      </xdr:spPr>
    </xdr:pic>
    <xdr:clientData/>
  </xdr:twoCellAnchor>
  <xdr:twoCellAnchor editAs="oneCell">
    <xdr:from>
      <xdr:col>5</xdr:col>
      <xdr:colOff>6292851</xdr:colOff>
      <xdr:row>0</xdr:row>
      <xdr:rowOff>17499</xdr:rowOff>
    </xdr:from>
    <xdr:to>
      <xdr:col>6</xdr:col>
      <xdr:colOff>911226</xdr:colOff>
      <xdr:row>1</xdr:row>
      <xdr:rowOff>11149</xdr:rowOff>
    </xdr:to>
    <xdr:pic>
      <xdr:nvPicPr>
        <xdr:cNvPr id="8" name="Graphic 7" descr="Seeds with solid fill">
          <a:extLst>
            <a:ext uri="{FF2B5EF4-FFF2-40B4-BE49-F238E27FC236}">
              <a16:creationId xmlns:a16="http://schemas.microsoft.com/office/drawing/2014/main" id="{2B558D9A-0C69-45A3-B461-E3843689DDF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2707601" y="17499"/>
          <a:ext cx="914400" cy="914400"/>
        </a:xfrm>
        <a:prstGeom prst="rect">
          <a:avLst/>
        </a:prstGeom>
      </xdr:spPr>
    </xdr:pic>
    <xdr:clientData/>
  </xdr:twoCellAnchor>
  <xdr:twoCellAnchor editAs="oneCell">
    <xdr:from>
      <xdr:col>5</xdr:col>
      <xdr:colOff>8671700</xdr:colOff>
      <xdr:row>0</xdr:row>
      <xdr:rowOff>13284</xdr:rowOff>
    </xdr:from>
    <xdr:to>
      <xdr:col>6</xdr:col>
      <xdr:colOff>896125</xdr:colOff>
      <xdr:row>1</xdr:row>
      <xdr:rowOff>6934</xdr:rowOff>
    </xdr:to>
    <xdr:pic>
      <xdr:nvPicPr>
        <xdr:cNvPr id="9" name="Graphic 8" descr="Wind Turbines with solid fill">
          <a:extLst>
            <a:ext uri="{FF2B5EF4-FFF2-40B4-BE49-F238E27FC236}">
              <a16:creationId xmlns:a16="http://schemas.microsoft.com/office/drawing/2014/main" id="{1C911C12-54A4-4528-906E-296251AF791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5086450" y="13284"/>
          <a:ext cx="901700" cy="914400"/>
        </a:xfrm>
        <a:prstGeom prst="rect">
          <a:avLst/>
        </a:prstGeom>
      </xdr:spPr>
    </xdr:pic>
    <xdr:clientData/>
  </xdr:twoCellAnchor>
  <xdr:twoCellAnchor editAs="oneCell">
    <xdr:from>
      <xdr:col>5</xdr:col>
      <xdr:colOff>7397487</xdr:colOff>
      <xdr:row>0</xdr:row>
      <xdr:rowOff>0</xdr:rowOff>
    </xdr:from>
    <xdr:to>
      <xdr:col>6</xdr:col>
      <xdr:colOff>910962</xdr:colOff>
      <xdr:row>0</xdr:row>
      <xdr:rowOff>914400</xdr:rowOff>
    </xdr:to>
    <xdr:pic>
      <xdr:nvPicPr>
        <xdr:cNvPr id="10" name="Graphic 9" descr="Solar Panels with solid fill">
          <a:extLst>
            <a:ext uri="{FF2B5EF4-FFF2-40B4-BE49-F238E27FC236}">
              <a16:creationId xmlns:a16="http://schemas.microsoft.com/office/drawing/2014/main" id="{F3F03FA8-8FED-40DD-8943-806B707B6B6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812237" y="0"/>
          <a:ext cx="914400" cy="914400"/>
        </a:xfrm>
        <a:prstGeom prst="rect">
          <a:avLst/>
        </a:prstGeom>
      </xdr:spPr>
    </xdr:pic>
    <xdr:clientData/>
  </xdr:twoCellAnchor>
  <xdr:twoCellAnchor editAs="oneCell">
    <xdr:from>
      <xdr:col>6</xdr:col>
      <xdr:colOff>595596</xdr:colOff>
      <xdr:row>0</xdr:row>
      <xdr:rowOff>59929</xdr:rowOff>
    </xdr:from>
    <xdr:to>
      <xdr:col>6</xdr:col>
      <xdr:colOff>1509996</xdr:colOff>
      <xdr:row>1</xdr:row>
      <xdr:rowOff>53579</xdr:rowOff>
    </xdr:to>
    <xdr:pic>
      <xdr:nvPicPr>
        <xdr:cNvPr id="11" name="Graphic 10" descr="Renewable Energy with solid fill">
          <a:extLst>
            <a:ext uri="{FF2B5EF4-FFF2-40B4-BE49-F238E27FC236}">
              <a16:creationId xmlns:a16="http://schemas.microsoft.com/office/drawing/2014/main" id="{894F4FC5-8D99-4A40-8279-2007CF2F7B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0280596" y="59929"/>
          <a:ext cx="914400" cy="914400"/>
        </a:xfrm>
        <a:prstGeom prst="rect">
          <a:avLst/>
        </a:prstGeom>
      </xdr:spPr>
    </xdr:pic>
    <xdr:clientData/>
  </xdr:twoCellAnchor>
  <xdr:twoCellAnchor>
    <xdr:from>
      <xdr:col>5</xdr:col>
      <xdr:colOff>381001</xdr:colOff>
      <xdr:row>21</xdr:row>
      <xdr:rowOff>84138</xdr:rowOff>
    </xdr:from>
    <xdr:to>
      <xdr:col>6</xdr:col>
      <xdr:colOff>1127126</xdr:colOff>
      <xdr:row>33</xdr:row>
      <xdr:rowOff>273051</xdr:rowOff>
    </xdr:to>
    <xdr:graphicFrame macro="">
      <xdr:nvGraphicFramePr>
        <xdr:cNvPr id="13" name="Chart 12">
          <a:extLst>
            <a:ext uri="{FF2B5EF4-FFF2-40B4-BE49-F238E27FC236}">
              <a16:creationId xmlns:a16="http://schemas.microsoft.com/office/drawing/2014/main" id="{E65EDC18-7A3F-8C62-5234-E2569CC5E0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2503715</xdr:colOff>
      <xdr:row>0</xdr:row>
      <xdr:rowOff>0</xdr:rowOff>
    </xdr:from>
    <xdr:to>
      <xdr:col>1</xdr:col>
      <xdr:colOff>3418115</xdr:colOff>
      <xdr:row>0</xdr:row>
      <xdr:rowOff>914400</xdr:rowOff>
    </xdr:to>
    <xdr:pic>
      <xdr:nvPicPr>
        <xdr:cNvPr id="2" name="Graphic 1" descr="Oil Rig with solid fill">
          <a:extLst>
            <a:ext uri="{FF2B5EF4-FFF2-40B4-BE49-F238E27FC236}">
              <a16:creationId xmlns:a16="http://schemas.microsoft.com/office/drawing/2014/main" id="{DA6F7CDE-0DCE-4870-AEE5-571EB1C6D6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47786" y="0"/>
          <a:ext cx="914400" cy="914400"/>
        </a:xfrm>
        <a:prstGeom prst="rect">
          <a:avLst/>
        </a:prstGeom>
      </xdr:spPr>
    </xdr:pic>
    <xdr:clientData/>
  </xdr:twoCellAnchor>
  <xdr:twoCellAnchor editAs="oneCell">
    <xdr:from>
      <xdr:col>2</xdr:col>
      <xdr:colOff>2106253</xdr:colOff>
      <xdr:row>0</xdr:row>
      <xdr:rowOff>4857</xdr:rowOff>
    </xdr:from>
    <xdr:to>
      <xdr:col>2</xdr:col>
      <xdr:colOff>3001603</xdr:colOff>
      <xdr:row>0</xdr:row>
      <xdr:rowOff>919257</xdr:rowOff>
    </xdr:to>
    <xdr:pic>
      <xdr:nvPicPr>
        <xdr:cNvPr id="3" name="Graphic 2" descr="Power Plant with solid fill">
          <a:extLst>
            <a:ext uri="{FF2B5EF4-FFF2-40B4-BE49-F238E27FC236}">
              <a16:creationId xmlns:a16="http://schemas.microsoft.com/office/drawing/2014/main" id="{123D647B-D3A3-4F13-94D9-5F145861EEA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51253" y="4857"/>
          <a:ext cx="895350" cy="914400"/>
        </a:xfrm>
        <a:prstGeom prst="rect">
          <a:avLst/>
        </a:prstGeom>
      </xdr:spPr>
    </xdr:pic>
    <xdr:clientData/>
  </xdr:twoCellAnchor>
  <xdr:twoCellAnchor editAs="oneCell">
    <xdr:from>
      <xdr:col>2</xdr:col>
      <xdr:colOff>1031611</xdr:colOff>
      <xdr:row>0</xdr:row>
      <xdr:rowOff>9715</xdr:rowOff>
    </xdr:from>
    <xdr:to>
      <xdr:col>2</xdr:col>
      <xdr:colOff>1946011</xdr:colOff>
      <xdr:row>1</xdr:row>
      <xdr:rowOff>479</xdr:rowOff>
    </xdr:to>
    <xdr:pic>
      <xdr:nvPicPr>
        <xdr:cNvPr id="4" name="Graphic 3" descr="Fuel with solid fill">
          <a:extLst>
            <a:ext uri="{FF2B5EF4-FFF2-40B4-BE49-F238E27FC236}">
              <a16:creationId xmlns:a16="http://schemas.microsoft.com/office/drawing/2014/main" id="{4BFC94D8-EE9F-4EBB-B740-D8BB7A0B8CC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76611" y="9715"/>
          <a:ext cx="914400" cy="914400"/>
        </a:xfrm>
        <a:prstGeom prst="rect">
          <a:avLst/>
        </a:prstGeom>
      </xdr:spPr>
    </xdr:pic>
    <xdr:clientData/>
  </xdr:twoCellAnchor>
  <xdr:twoCellAnchor editAs="oneCell">
    <xdr:from>
      <xdr:col>1</xdr:col>
      <xdr:colOff>3706644</xdr:colOff>
      <xdr:row>0</xdr:row>
      <xdr:rowOff>32715</xdr:rowOff>
    </xdr:from>
    <xdr:to>
      <xdr:col>2</xdr:col>
      <xdr:colOff>816940</xdr:colOff>
      <xdr:row>1</xdr:row>
      <xdr:rowOff>21829</xdr:rowOff>
    </xdr:to>
    <xdr:pic>
      <xdr:nvPicPr>
        <xdr:cNvPr id="5" name="Graphic 4" descr="Fuel with solid fill">
          <a:extLst>
            <a:ext uri="{FF2B5EF4-FFF2-40B4-BE49-F238E27FC236}">
              <a16:creationId xmlns:a16="http://schemas.microsoft.com/office/drawing/2014/main" id="{743B9FC8-738D-4F0D-AEEE-51425976330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350715" y="32715"/>
          <a:ext cx="911225" cy="914400"/>
        </a:xfrm>
        <a:prstGeom prst="rect">
          <a:avLst/>
        </a:prstGeom>
      </xdr:spPr>
    </xdr:pic>
    <xdr:clientData/>
  </xdr:twoCellAnchor>
  <xdr:twoCellAnchor editAs="oneCell">
    <xdr:from>
      <xdr:col>4</xdr:col>
      <xdr:colOff>2646137</xdr:colOff>
      <xdr:row>0</xdr:row>
      <xdr:rowOff>54428</xdr:rowOff>
    </xdr:from>
    <xdr:to>
      <xdr:col>5</xdr:col>
      <xdr:colOff>213180</xdr:colOff>
      <xdr:row>1</xdr:row>
      <xdr:rowOff>43542</xdr:rowOff>
    </xdr:to>
    <xdr:pic>
      <xdr:nvPicPr>
        <xdr:cNvPr id="6" name="Graphic 5" descr="Seeds with solid fill">
          <a:extLst>
            <a:ext uri="{FF2B5EF4-FFF2-40B4-BE49-F238E27FC236}">
              <a16:creationId xmlns:a16="http://schemas.microsoft.com/office/drawing/2014/main" id="{9DF4154A-FC75-45C9-B847-709EB4D4935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441137" y="54428"/>
          <a:ext cx="914400" cy="914400"/>
        </a:xfrm>
        <a:prstGeom prst="rect">
          <a:avLst/>
        </a:prstGeom>
      </xdr:spPr>
    </xdr:pic>
    <xdr:clientData/>
  </xdr:twoCellAnchor>
  <xdr:twoCellAnchor editAs="oneCell">
    <xdr:from>
      <xdr:col>5</xdr:col>
      <xdr:colOff>1677629</xdr:colOff>
      <xdr:row>0</xdr:row>
      <xdr:rowOff>50213</xdr:rowOff>
    </xdr:from>
    <xdr:to>
      <xdr:col>5</xdr:col>
      <xdr:colOff>2572979</xdr:colOff>
      <xdr:row>1</xdr:row>
      <xdr:rowOff>39327</xdr:rowOff>
    </xdr:to>
    <xdr:pic>
      <xdr:nvPicPr>
        <xdr:cNvPr id="7" name="Graphic 6" descr="Wind Turbines with solid fill">
          <a:extLst>
            <a:ext uri="{FF2B5EF4-FFF2-40B4-BE49-F238E27FC236}">
              <a16:creationId xmlns:a16="http://schemas.microsoft.com/office/drawing/2014/main" id="{A07ECAD3-7312-44DF-A6DD-6F943EE82F4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819986" y="50213"/>
          <a:ext cx="895350" cy="914400"/>
        </a:xfrm>
        <a:prstGeom prst="rect">
          <a:avLst/>
        </a:prstGeom>
      </xdr:spPr>
    </xdr:pic>
    <xdr:clientData/>
  </xdr:twoCellAnchor>
  <xdr:twoCellAnchor editAs="oneCell">
    <xdr:from>
      <xdr:col>5</xdr:col>
      <xdr:colOff>403416</xdr:colOff>
      <xdr:row>0</xdr:row>
      <xdr:rowOff>36929</xdr:rowOff>
    </xdr:from>
    <xdr:to>
      <xdr:col>5</xdr:col>
      <xdr:colOff>1317816</xdr:colOff>
      <xdr:row>1</xdr:row>
      <xdr:rowOff>26043</xdr:rowOff>
    </xdr:to>
    <xdr:pic>
      <xdr:nvPicPr>
        <xdr:cNvPr id="8" name="Graphic 7" descr="Solar Panels with solid fill">
          <a:extLst>
            <a:ext uri="{FF2B5EF4-FFF2-40B4-BE49-F238E27FC236}">
              <a16:creationId xmlns:a16="http://schemas.microsoft.com/office/drawing/2014/main" id="{C909D487-59DC-43C4-B5FE-516E1DFF621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4545773" y="36929"/>
          <a:ext cx="914400" cy="914400"/>
        </a:xfrm>
        <a:prstGeom prst="rect">
          <a:avLst/>
        </a:prstGeom>
      </xdr:spPr>
    </xdr:pic>
    <xdr:clientData/>
  </xdr:twoCellAnchor>
  <xdr:twoCellAnchor editAs="oneCell">
    <xdr:from>
      <xdr:col>5</xdr:col>
      <xdr:colOff>2920150</xdr:colOff>
      <xdr:row>0</xdr:row>
      <xdr:rowOff>59929</xdr:rowOff>
    </xdr:from>
    <xdr:to>
      <xdr:col>6</xdr:col>
      <xdr:colOff>414621</xdr:colOff>
      <xdr:row>1</xdr:row>
      <xdr:rowOff>49043</xdr:rowOff>
    </xdr:to>
    <xdr:pic>
      <xdr:nvPicPr>
        <xdr:cNvPr id="9" name="Graphic 8" descr="Renewable Energy with solid fill">
          <a:extLst>
            <a:ext uri="{FF2B5EF4-FFF2-40B4-BE49-F238E27FC236}">
              <a16:creationId xmlns:a16="http://schemas.microsoft.com/office/drawing/2014/main" id="{4C2C1953-6888-43B4-A405-81893E155BE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062507" y="59929"/>
          <a:ext cx="914400" cy="9144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597206</xdr:colOff>
      <xdr:row>39</xdr:row>
      <xdr:rowOff>163301</xdr:rowOff>
    </xdr:from>
    <xdr:to>
      <xdr:col>4</xdr:col>
      <xdr:colOff>1639456</xdr:colOff>
      <xdr:row>64</xdr:row>
      <xdr:rowOff>57727</xdr:rowOff>
    </xdr:to>
    <xdr:graphicFrame macro="">
      <xdr:nvGraphicFramePr>
        <xdr:cNvPr id="2" name="Chart 1">
          <a:extLst>
            <a:ext uri="{FF2B5EF4-FFF2-40B4-BE49-F238E27FC236}">
              <a16:creationId xmlns:a16="http://schemas.microsoft.com/office/drawing/2014/main" id="{CA277028-9C73-9ADF-E9DF-192C041BBE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1476375</xdr:colOff>
      <xdr:row>0</xdr:row>
      <xdr:rowOff>0</xdr:rowOff>
    </xdr:from>
    <xdr:to>
      <xdr:col>2</xdr:col>
      <xdr:colOff>2390775</xdr:colOff>
      <xdr:row>0</xdr:row>
      <xdr:rowOff>914400</xdr:rowOff>
    </xdr:to>
    <xdr:pic>
      <xdr:nvPicPr>
        <xdr:cNvPr id="4" name="Graphic 3" descr="Oil Rig with solid fill">
          <a:extLst>
            <a:ext uri="{FF2B5EF4-FFF2-40B4-BE49-F238E27FC236}">
              <a16:creationId xmlns:a16="http://schemas.microsoft.com/office/drawing/2014/main" id="{EDE1639C-D0BB-4C18-BE3B-F0E742CD4F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191125" y="0"/>
          <a:ext cx="914400" cy="914400"/>
        </a:xfrm>
        <a:prstGeom prst="rect">
          <a:avLst/>
        </a:prstGeom>
      </xdr:spPr>
    </xdr:pic>
    <xdr:clientData/>
  </xdr:twoCellAnchor>
  <xdr:twoCellAnchor editAs="oneCell">
    <xdr:from>
      <xdr:col>3</xdr:col>
      <xdr:colOff>1831842</xdr:colOff>
      <xdr:row>0</xdr:row>
      <xdr:rowOff>4857</xdr:rowOff>
    </xdr:from>
    <xdr:to>
      <xdr:col>4</xdr:col>
      <xdr:colOff>91942</xdr:colOff>
      <xdr:row>0</xdr:row>
      <xdr:rowOff>919257</xdr:rowOff>
    </xdr:to>
    <xdr:pic>
      <xdr:nvPicPr>
        <xdr:cNvPr id="5" name="Graphic 4" descr="Power Plant with solid fill">
          <a:extLst>
            <a:ext uri="{FF2B5EF4-FFF2-40B4-BE49-F238E27FC236}">
              <a16:creationId xmlns:a16="http://schemas.microsoft.com/office/drawing/2014/main" id="{6970CB85-580D-4BA2-8F00-C01EBF26151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594592" y="4857"/>
          <a:ext cx="895350" cy="914400"/>
        </a:xfrm>
        <a:prstGeom prst="rect">
          <a:avLst/>
        </a:prstGeom>
      </xdr:spPr>
    </xdr:pic>
    <xdr:clientData/>
  </xdr:twoCellAnchor>
  <xdr:twoCellAnchor editAs="oneCell">
    <xdr:from>
      <xdr:col>3</xdr:col>
      <xdr:colOff>757200</xdr:colOff>
      <xdr:row>0</xdr:row>
      <xdr:rowOff>9715</xdr:rowOff>
    </xdr:from>
    <xdr:to>
      <xdr:col>3</xdr:col>
      <xdr:colOff>1671600</xdr:colOff>
      <xdr:row>1</xdr:row>
      <xdr:rowOff>3365</xdr:rowOff>
    </xdr:to>
    <xdr:pic>
      <xdr:nvPicPr>
        <xdr:cNvPr id="6" name="Graphic 5" descr="Fuel with solid fill">
          <a:extLst>
            <a:ext uri="{FF2B5EF4-FFF2-40B4-BE49-F238E27FC236}">
              <a16:creationId xmlns:a16="http://schemas.microsoft.com/office/drawing/2014/main" id="{2F07D70B-DEE5-4EB2-98DF-8BF80F7FE2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519950" y="9715"/>
          <a:ext cx="914400" cy="914400"/>
        </a:xfrm>
        <a:prstGeom prst="rect">
          <a:avLst/>
        </a:prstGeom>
      </xdr:spPr>
    </xdr:pic>
    <xdr:clientData/>
  </xdr:twoCellAnchor>
  <xdr:twoCellAnchor editAs="oneCell">
    <xdr:from>
      <xdr:col>2</xdr:col>
      <xdr:colOff>2679304</xdr:colOff>
      <xdr:row>0</xdr:row>
      <xdr:rowOff>32715</xdr:rowOff>
    </xdr:from>
    <xdr:to>
      <xdr:col>3</xdr:col>
      <xdr:colOff>542529</xdr:colOff>
      <xdr:row>1</xdr:row>
      <xdr:rowOff>26365</xdr:rowOff>
    </xdr:to>
    <xdr:pic>
      <xdr:nvPicPr>
        <xdr:cNvPr id="7" name="Graphic 6" descr="Fuel with solid fill">
          <a:extLst>
            <a:ext uri="{FF2B5EF4-FFF2-40B4-BE49-F238E27FC236}">
              <a16:creationId xmlns:a16="http://schemas.microsoft.com/office/drawing/2014/main" id="{9ECCB70A-2C4C-4E78-BF98-1B2CE9AC5C3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394054" y="32715"/>
          <a:ext cx="911225" cy="914400"/>
        </a:xfrm>
        <a:prstGeom prst="rect">
          <a:avLst/>
        </a:prstGeom>
      </xdr:spPr>
    </xdr:pic>
    <xdr:clientData/>
  </xdr:twoCellAnchor>
  <xdr:twoCellAnchor editAs="oneCell">
    <xdr:from>
      <xdr:col>6</xdr:col>
      <xdr:colOff>2244726</xdr:colOff>
      <xdr:row>0</xdr:row>
      <xdr:rowOff>54428</xdr:rowOff>
    </xdr:from>
    <xdr:to>
      <xdr:col>6</xdr:col>
      <xdr:colOff>3159126</xdr:colOff>
      <xdr:row>1</xdr:row>
      <xdr:rowOff>48078</xdr:rowOff>
    </xdr:to>
    <xdr:pic>
      <xdr:nvPicPr>
        <xdr:cNvPr id="8" name="Graphic 7" descr="Seeds with solid fill">
          <a:extLst>
            <a:ext uri="{FF2B5EF4-FFF2-40B4-BE49-F238E27FC236}">
              <a16:creationId xmlns:a16="http://schemas.microsoft.com/office/drawing/2014/main" id="{B4D40149-1C90-4CBE-889B-A09759185727}"/>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484476" y="54428"/>
          <a:ext cx="914400" cy="914400"/>
        </a:xfrm>
        <a:prstGeom prst="rect">
          <a:avLst/>
        </a:prstGeom>
      </xdr:spPr>
    </xdr:pic>
    <xdr:clientData/>
  </xdr:twoCellAnchor>
  <xdr:twoCellAnchor editAs="oneCell">
    <xdr:from>
      <xdr:col>7</xdr:col>
      <xdr:colOff>797700</xdr:colOff>
      <xdr:row>0</xdr:row>
      <xdr:rowOff>50213</xdr:rowOff>
    </xdr:from>
    <xdr:to>
      <xdr:col>7</xdr:col>
      <xdr:colOff>1693050</xdr:colOff>
      <xdr:row>1</xdr:row>
      <xdr:rowOff>43863</xdr:rowOff>
    </xdr:to>
    <xdr:pic>
      <xdr:nvPicPr>
        <xdr:cNvPr id="9" name="Graphic 8" descr="Wind Turbines with solid fill">
          <a:extLst>
            <a:ext uri="{FF2B5EF4-FFF2-40B4-BE49-F238E27FC236}">
              <a16:creationId xmlns:a16="http://schemas.microsoft.com/office/drawing/2014/main" id="{A344172C-C411-453B-85C7-211CAB938AD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7863325" y="50213"/>
          <a:ext cx="895350" cy="914400"/>
        </a:xfrm>
        <a:prstGeom prst="rect">
          <a:avLst/>
        </a:prstGeom>
      </xdr:spPr>
    </xdr:pic>
    <xdr:clientData/>
  </xdr:twoCellAnchor>
  <xdr:twoCellAnchor editAs="oneCell">
    <xdr:from>
      <xdr:col>6</xdr:col>
      <xdr:colOff>3349362</xdr:colOff>
      <xdr:row>0</xdr:row>
      <xdr:rowOff>36929</xdr:rowOff>
    </xdr:from>
    <xdr:to>
      <xdr:col>7</xdr:col>
      <xdr:colOff>437887</xdr:colOff>
      <xdr:row>1</xdr:row>
      <xdr:rowOff>30579</xdr:rowOff>
    </xdr:to>
    <xdr:pic>
      <xdr:nvPicPr>
        <xdr:cNvPr id="10" name="Graphic 9" descr="Solar Panels with solid fill">
          <a:extLst>
            <a:ext uri="{FF2B5EF4-FFF2-40B4-BE49-F238E27FC236}">
              <a16:creationId xmlns:a16="http://schemas.microsoft.com/office/drawing/2014/main" id="{9A517F75-1A80-4B2B-8294-DFE055E8FD3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589112" y="36929"/>
          <a:ext cx="914400" cy="914400"/>
        </a:xfrm>
        <a:prstGeom prst="rect">
          <a:avLst/>
        </a:prstGeom>
      </xdr:spPr>
    </xdr:pic>
    <xdr:clientData/>
  </xdr:twoCellAnchor>
  <xdr:twoCellAnchor editAs="oneCell">
    <xdr:from>
      <xdr:col>7</xdr:col>
      <xdr:colOff>2040221</xdr:colOff>
      <xdr:row>0</xdr:row>
      <xdr:rowOff>59929</xdr:rowOff>
    </xdr:from>
    <xdr:to>
      <xdr:col>8</xdr:col>
      <xdr:colOff>335246</xdr:colOff>
      <xdr:row>1</xdr:row>
      <xdr:rowOff>53579</xdr:rowOff>
    </xdr:to>
    <xdr:pic>
      <xdr:nvPicPr>
        <xdr:cNvPr id="11" name="Graphic 10" descr="Renewable Energy with solid fill">
          <a:extLst>
            <a:ext uri="{FF2B5EF4-FFF2-40B4-BE49-F238E27FC236}">
              <a16:creationId xmlns:a16="http://schemas.microsoft.com/office/drawing/2014/main" id="{B8ABF863-3851-4D41-A259-74F3DD2CA3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9105846" y="59929"/>
          <a:ext cx="914400" cy="914400"/>
        </a:xfrm>
        <a:prstGeom prst="rect">
          <a:avLst/>
        </a:prstGeom>
      </xdr:spPr>
    </xdr:pic>
    <xdr:clientData/>
  </xdr:twoCellAnchor>
  <xdr:twoCellAnchor>
    <xdr:from>
      <xdr:col>6</xdr:col>
      <xdr:colOff>95250</xdr:colOff>
      <xdr:row>39</xdr:row>
      <xdr:rowOff>192086</xdr:rowOff>
    </xdr:from>
    <xdr:to>
      <xdr:col>10</xdr:col>
      <xdr:colOff>31750</xdr:colOff>
      <xdr:row>64</xdr:row>
      <xdr:rowOff>108856</xdr:rowOff>
    </xdr:to>
    <xdr:graphicFrame macro="">
      <xdr:nvGraphicFramePr>
        <xdr:cNvPr id="12" name="Chart 11">
          <a:extLst>
            <a:ext uri="{FF2B5EF4-FFF2-40B4-BE49-F238E27FC236}">
              <a16:creationId xmlns:a16="http://schemas.microsoft.com/office/drawing/2014/main" id="{0266075E-B8AD-6127-9ACA-287ECE88E9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Jobs\Company%20Resources\Climate%20Collective%20Foundation\Assignment\References\DEFRA\ghg-conversion-factors-2025-full-set.xlsx" TargetMode="External"/><Relationship Id="rId1" Type="http://schemas.openxmlformats.org/officeDocument/2006/relationships/externalLinkPath" Target="References/DEFRA/ghg-conversion-factors-2025-full-s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What's new"/>
      <sheetName val="Index"/>
      <sheetName val="Fuels"/>
      <sheetName val="Bioenergy"/>
      <sheetName val="Refrigerant &amp; other"/>
      <sheetName val="Passenger vehicles"/>
      <sheetName val="Delivery vehicles"/>
      <sheetName val="SECR kWh pass &amp; delivery vehs"/>
      <sheetName val="UK electricity"/>
      <sheetName val="Overseas electricity"/>
      <sheetName val="UK electricity for EVs"/>
      <sheetName val="SECR kWh UK electricity for EVs"/>
      <sheetName val="Heat and steam"/>
      <sheetName val="WTT- fuels"/>
      <sheetName val="WTT- bioenergy"/>
      <sheetName val="Transmission and distribution"/>
      <sheetName val="UK electricity T&amp;D for EVs"/>
      <sheetName val="WTT- UK electricity"/>
      <sheetName val="WTT- heat and steam"/>
      <sheetName val="Water supply"/>
      <sheetName val="Water treatment"/>
      <sheetName val="Material use"/>
      <sheetName val="Waste disposal"/>
      <sheetName val="Business travel- air"/>
      <sheetName val="WTT- business travel- air"/>
      <sheetName val="Business travel- sea"/>
      <sheetName val="WTT- business travel- sea"/>
      <sheetName val="Business travel- land"/>
      <sheetName val="WTT- pass vehs &amp; travel- land"/>
      <sheetName val="Freighting goods"/>
      <sheetName val="WTT- delivery vehs &amp; freight"/>
      <sheetName val="Hotel stay"/>
      <sheetName val="Managed assets- electricity"/>
      <sheetName val="Managed assets- vehicles"/>
      <sheetName val="Homeworking"/>
      <sheetName val="Outside of scopes"/>
      <sheetName val="Conversions"/>
      <sheetName val="Fuel properties"/>
      <sheetName val="Haul defini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E6EA4AC-67DA-4CD6-BDD9-EA970B0D9E44}" name="Material_table" displayName="Material_table" ref="W4:AA140" totalsRowShown="0" headerRowDxfId="77" dataDxfId="76">
  <autoFilter ref="W4:AA140" xr:uid="{CE6EA4AC-67DA-4CD6-BDD9-EA970B0D9E44}"/>
  <tableColumns count="5">
    <tableColumn id="1" xr3:uid="{30D5FFC7-82D7-440C-9917-7E51E14A0D2B}" name="Material Type" dataDxfId="75"/>
    <tableColumn id="2" xr3:uid="{F8D7ECD0-0D18-485C-9868-DD782EBCD6DF}" name="Material" dataDxfId="74"/>
    <tableColumn id="3" xr3:uid="{99C17F2C-F325-4429-A26D-28297CB1BE24}" name="Emission Factor" dataDxfId="73"/>
    <tableColumn id="6" xr3:uid="{FD48770F-F8FC-4905-910A-6629F261FAB5}" name="Units" dataDxfId="72"/>
    <tableColumn id="4" xr3:uid="{85A7AD97-14AC-4CCC-A341-13F1B5883CC4}" name="Sources" dataDxfId="71">
      <calculatedColumnFormula>'[1]Material use'!$E$25/1000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21E90E3-0330-4CD0-B366-87A478D0CBAB}" name="Transport_table" displayName="Transport_table" ref="AI4:AM61" headerRowDxfId="70" dataDxfId="69" totalsRowDxfId="68">
  <autoFilter ref="AI4:AM61" xr:uid="{421E90E3-0330-4CD0-B366-87A478D0CBAB}"/>
  <tableColumns count="5">
    <tableColumn id="6" xr3:uid="{0EF3AD76-A4A1-4707-9996-A991625476C4}" name="Vehicle Category" totalsRowFunction="count" dataDxfId="67" totalsRowDxfId="66"/>
    <tableColumn id="1" xr3:uid="{0C00AD01-659F-4F46-B3EB-56126EE5CF89}" name="Vehicle Type" totalsRowFunction="count" dataDxfId="65" totalsRowDxfId="64"/>
    <tableColumn id="5" xr3:uid="{C22612E7-8283-4D5A-B646-8E5F089E1574}" name="Fuel Type" dataDxfId="63" totalsRowDxfId="62"/>
    <tableColumn id="2" xr3:uid="{CFD9ADC6-6A79-4066-AD5D-62AED0F1ECEF}" name="Emission factors" dataDxfId="61" totalsRowDxfId="60"/>
    <tableColumn id="3" xr3:uid="{1DCD1E8D-F64E-4DB8-B975-B7AEF3F8A5D8}" name="Units" dataDxfId="59" totalsRowDxfId="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B39FB97-E8B0-46D1-AA7A-53DFBA31EC6A}" name="Geo_table" displayName="Geo_table" ref="B4:D153" totalsRowShown="0" headerRowDxfId="57" dataDxfId="56">
  <autoFilter ref="B4:D153" xr:uid="{FB39FB97-E8B0-46D1-AA7A-53DFBA31EC6A}"/>
  <tableColumns count="3">
    <tableColumn id="1" xr3:uid="{E8B15EFF-BD90-4B1D-876A-053909AF6204}" name="Continent" dataDxfId="55"/>
    <tableColumn id="2" xr3:uid="{E339BE4A-6A9E-49EE-9342-95654644D9E4}" name="Sub-Region" dataDxfId="54"/>
    <tableColumn id="3" xr3:uid="{3EE86EFF-930F-4A75-9500-B83D39024EEF}" name="Country" dataDxfId="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62D385-C013-416A-B166-3C0CCCB7C79B}" name="RYear_table" displayName="RYear_table" ref="J64:L116" totalsRowShown="0" headerRowDxfId="52" dataDxfId="51">
  <autoFilter ref="J64:L116" xr:uid="{D262D385-C013-416A-B166-3C0CCCB7C79B}"/>
  <tableColumns count="3">
    <tableColumn id="1" xr3:uid="{36A108D7-958A-4CA6-AF06-FF0B6C02BAC3}" name="Reporting Year" dataDxfId="50"/>
    <tableColumn id="2" xr3:uid="{0D50304F-1071-4BF8-A228-AFD7B9525426}" name="Emission Factor" dataDxfId="49"/>
    <tableColumn id="3" xr3:uid="{A3028DBD-7867-47A4-BB7F-8C94CE7287BB}" name="unit" dataDxfId="4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DE6745C-BEFD-4036-8917-2AD525D02791}" name="FuelEF_table" displayName="FuelEF_table" ref="J4:M60" totalsRowShown="0" headerRowDxfId="47" dataDxfId="46">
  <autoFilter ref="J4:M60" xr:uid="{1DE6745C-BEFD-4036-8917-2AD525D02791}"/>
  <tableColumns count="4">
    <tableColumn id="1" xr3:uid="{1D563E91-A501-4ED7-89AD-7BB28D801EE0}" name="Fuel" dataDxfId="45"/>
    <tableColumn id="2" xr3:uid="{0B2A9ADB-6EA9-41B2-BBCD-6F9D93826370}" name="Gas" dataDxfId="44"/>
    <tableColumn id="4" xr3:uid="{CDAA07A8-37E8-4AB8-9B59-E43CB16C1CD5}" name="Emission Factor" dataDxfId="43"/>
    <tableColumn id="6" xr3:uid="{D6539DC7-2D72-4612-91FA-5707C61C28AE}" name="CO₂ eq Emission Factor (tonne/MWh or kg/kWh)" dataDxfId="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E61CB1-7883-4B29-9ACB-588D3F055649}" name="Table5" displayName="Table5" ref="P45:S50" totalsRowShown="0" headerRowDxfId="41" dataDxfId="40">
  <autoFilter ref="P45:S50" xr:uid="{18E61CB1-7883-4B29-9ACB-588D3F055649}"/>
  <tableColumns count="4">
    <tableColumn id="1" xr3:uid="{78DFB28A-BE77-454C-BC4F-E579BD3761F9}" name="Treatment Process" dataDxfId="39"/>
    <tableColumn id="2" xr3:uid="{F4D22E60-57A4-4D95-9980-23B2F48128E7}" name="CO₂ eq Emission Factor " dataDxfId="38"/>
    <tableColumn id="3" xr3:uid="{204ACEEE-7B5E-4517-A2BB-0CAFC43F2D8D}" name="Unit" dataDxfId="37"/>
    <tableColumn id="4" xr3:uid="{35B64ADE-FAE9-40BD-B542-7A482FB6A30D}" name="Source" dataDxfId="3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3C1C06-B51F-45C0-96FD-7F3BB90BAE71}" name="IPCC_GWP_table" displayName="IPCC_GWP_table" ref="P4:S10" totalsRowShown="0" headerRowDxfId="35" dataDxfId="34">
  <autoFilter ref="P4:S10" xr:uid="{7C3C1C06-B51F-45C0-96FD-7F3BB90BAE71}"/>
  <tableColumns count="4">
    <tableColumn id="1" xr3:uid="{A46A7A9A-0154-43A4-865B-6355C99B8D6F}" name="GWP_values_list" dataDxfId="33"/>
    <tableColumn id="2" xr3:uid="{0272E301-7488-4665-ABA7-AE294031DABE}" name="CO₂" dataDxfId="32"/>
    <tableColumn id="3" xr3:uid="{70FDA345-0361-4512-B79E-0A5B8AA6BD7A}" name="CH₄" dataDxfId="31"/>
    <tableColumn id="4" xr3:uid="{87BDD880-DA17-49E5-B0A0-D11D20F6DCAB}" name="N₂O" dataDxfId="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AC9A5BC-2DEA-4084-A492-8F722F457B3A}" name="CO2eq_Fuel_table" displayName="CO2eq_Fuel_table" ref="P16:R38" totalsRowShown="0" headerRowDxfId="29" dataDxfId="28">
  <autoFilter ref="P16:R38" xr:uid="{1AC9A5BC-2DEA-4084-A492-8F722F457B3A}"/>
  <tableColumns count="3">
    <tableColumn id="1" xr3:uid="{CA55CA31-30C3-4945-8D5D-8D451D75BD33}" name="Fuel" dataDxfId="27"/>
    <tableColumn id="2" xr3:uid="{48112B85-5361-46FC-932C-DD6FA8BB9F62}" name="CO₂ eq Emission Factor" dataDxfId="26"/>
    <tableColumn id="3" xr3:uid="{0F507BB8-914C-46F2-A716-AC9CD3BCFFA0}" name="Unit" dataDxfId="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770BC34-98FC-49C1-8377-168E2CED1C0C}" name="FtG_table" displayName="FtG_table" ref="P122:R143" totalsRowShown="0" headerRowDxfId="24" dataDxfId="22" headerRowBorderDxfId="23" tableBorderDxfId="21">
  <autoFilter ref="P122:R143" xr:uid="{6770BC34-98FC-49C1-8377-168E2CED1C0C}"/>
  <tableColumns count="3">
    <tableColumn id="1" xr3:uid="{D47E01F6-C020-46B8-ACA9-550B641C9B5B}" name="Fuel" dataDxfId="20"/>
    <tableColumn id="2" xr3:uid="{E0554F14-D5BF-4053-8251-C96F8FD7DE47}" name="CO₂ eq Emission Factor" dataDxfId="19"/>
    <tableColumn id="3" xr3:uid="{0FD41EFB-3BF3-45B0-B020-283CD4D171A1}" name="Unit"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ghgprotocol.org/" TargetMode="External"/><Relationship Id="rId2" Type="http://schemas.openxmlformats.org/officeDocument/2006/relationships/hyperlink" Target="https://www.sustainablesolutionscorporation.com/ssc-blog/common-types-life-cycle-assessments" TargetMode="External"/><Relationship Id="rId1" Type="http://schemas.openxmlformats.org/officeDocument/2006/relationships/hyperlink" Target="https://unsdg.un.org/sites/default/files/UNDG-UNDAF-Companion-Pieces-7-Theory-of-Change.pdf" TargetMode="External"/><Relationship Id="rId5" Type="http://schemas.openxmlformats.org/officeDocument/2006/relationships/drawing" Target="../drawings/drawing3.xml"/><Relationship Id="rId4" Type="http://schemas.openxmlformats.org/officeDocument/2006/relationships/hyperlink" Target="https://www.iso.org/files/live/sites/isoorg/files/store/en/PUB100271.pdf" TargetMode="Externa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drawing" Target="../drawings/drawing4.xml"/><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499984740745262"/>
  </sheetPr>
  <dimension ref="A1:E54"/>
  <sheetViews>
    <sheetView showGridLines="0" topLeftCell="A41" zoomScale="70" zoomScaleNormal="70" workbookViewId="0">
      <selection activeCell="D32" sqref="D32"/>
    </sheetView>
  </sheetViews>
  <sheetFormatPr defaultRowHeight="18" x14ac:dyDescent="0.35"/>
  <cols>
    <col min="1" max="1" width="9.1796875" style="109" customWidth="1"/>
    <col min="2" max="2" width="35.90625" style="14" customWidth="1"/>
    <col min="3" max="3" width="109.90625" style="15" customWidth="1"/>
    <col min="4" max="4" width="77.26953125" style="14" customWidth="1"/>
    <col min="5" max="16384" width="8.7265625" style="14"/>
  </cols>
  <sheetData>
    <row r="1" spans="1:5" s="109" customFormat="1" ht="84.5" customHeight="1" x14ac:dyDescent="0.35">
      <c r="B1" s="331" t="s">
        <v>561</v>
      </c>
      <c r="C1" s="331"/>
      <c r="D1" s="331"/>
    </row>
    <row r="2" spans="1:5" ht="55.5" customHeight="1" x14ac:dyDescent="0.35">
      <c r="B2" s="330" t="s">
        <v>523</v>
      </c>
      <c r="C2" s="330"/>
      <c r="D2" s="330"/>
      <c r="E2" s="39"/>
    </row>
    <row r="3" spans="1:5" ht="20.5" x14ac:dyDescent="0.35">
      <c r="A3" s="181"/>
      <c r="B3" s="332"/>
      <c r="C3" s="332"/>
    </row>
    <row r="4" spans="1:5" ht="29.5" customHeight="1" x14ac:dyDescent="0.35">
      <c r="B4" s="324" t="s">
        <v>520</v>
      </c>
      <c r="C4" s="324"/>
      <c r="D4" s="324"/>
      <c r="E4" s="21"/>
    </row>
    <row r="5" spans="1:5" ht="42.5" customHeight="1" x14ac:dyDescent="0.35">
      <c r="A5" s="14"/>
      <c r="B5" s="325" t="s">
        <v>574</v>
      </c>
      <c r="C5" s="325"/>
      <c r="D5" s="325"/>
      <c r="E5" s="33"/>
    </row>
    <row r="6" spans="1:5" x14ac:dyDescent="0.35">
      <c r="A6" s="14"/>
      <c r="B6" s="325"/>
      <c r="C6" s="325"/>
      <c r="D6" s="32"/>
    </row>
    <row r="7" spans="1:5" ht="29.5" customHeight="1" x14ac:dyDescent="0.35">
      <c r="A7" s="14"/>
      <c r="B7" s="324" t="s">
        <v>521</v>
      </c>
      <c r="C7" s="324"/>
      <c r="D7" s="324"/>
      <c r="E7" s="21"/>
    </row>
    <row r="8" spans="1:5" ht="29.5" customHeight="1" x14ac:dyDescent="0.35">
      <c r="A8" s="14"/>
      <c r="B8" s="329" t="s">
        <v>577</v>
      </c>
      <c r="C8" s="329"/>
      <c r="D8" s="329"/>
    </row>
    <row r="9" spans="1:5" ht="35.5" customHeight="1" x14ac:dyDescent="0.35">
      <c r="A9" s="14"/>
      <c r="B9" s="27" t="s">
        <v>565</v>
      </c>
      <c r="C9" s="323" t="s">
        <v>553</v>
      </c>
      <c r="D9" s="323"/>
      <c r="E9" s="33"/>
    </row>
    <row r="10" spans="1:5" ht="35.5" customHeight="1" x14ac:dyDescent="0.35">
      <c r="A10" s="14"/>
      <c r="B10" s="27" t="s">
        <v>575</v>
      </c>
      <c r="C10" s="323" t="s">
        <v>554</v>
      </c>
      <c r="D10" s="323"/>
      <c r="E10" s="33"/>
    </row>
    <row r="11" spans="1:5" ht="35.5" customHeight="1" x14ac:dyDescent="0.35">
      <c r="A11" s="14"/>
      <c r="B11" s="27" t="s">
        <v>576</v>
      </c>
      <c r="C11" s="323" t="s">
        <v>555</v>
      </c>
      <c r="D11" s="323"/>
      <c r="E11" s="33"/>
    </row>
    <row r="12" spans="1:5" ht="70" x14ac:dyDescent="0.35">
      <c r="A12" s="14"/>
      <c r="B12" s="27" t="s">
        <v>822</v>
      </c>
      <c r="C12" s="323" t="s">
        <v>556</v>
      </c>
      <c r="D12" s="323"/>
      <c r="E12" s="33"/>
    </row>
    <row r="13" spans="1:5" x14ac:dyDescent="0.35">
      <c r="A13" s="14"/>
      <c r="B13" s="33"/>
      <c r="C13" s="33"/>
      <c r="D13" s="33"/>
      <c r="E13" s="32"/>
    </row>
    <row r="14" spans="1:5" ht="29.5" customHeight="1" x14ac:dyDescent="0.35">
      <c r="A14" s="14"/>
      <c r="B14" s="324" t="s">
        <v>548</v>
      </c>
      <c r="C14" s="324"/>
      <c r="D14" s="324"/>
      <c r="E14" s="21"/>
    </row>
    <row r="15" spans="1:5" ht="29.5" customHeight="1" x14ac:dyDescent="0.35">
      <c r="A15" s="14"/>
      <c r="B15" s="322" t="s">
        <v>696</v>
      </c>
      <c r="C15" s="322"/>
      <c r="D15" s="322"/>
      <c r="E15" s="21"/>
    </row>
    <row r="16" spans="1:5" ht="35" customHeight="1" x14ac:dyDescent="0.35">
      <c r="A16" s="14"/>
      <c r="B16" s="27" t="s">
        <v>557</v>
      </c>
      <c r="C16" s="323" t="s">
        <v>559</v>
      </c>
      <c r="D16" s="323"/>
      <c r="E16" s="33"/>
    </row>
    <row r="17" spans="1:5" ht="40" customHeight="1" x14ac:dyDescent="0.35">
      <c r="A17" s="14"/>
      <c r="B17" s="27" t="s">
        <v>558</v>
      </c>
      <c r="C17" s="323" t="s">
        <v>560</v>
      </c>
      <c r="D17" s="323"/>
      <c r="E17" s="33"/>
    </row>
    <row r="18" spans="1:5" x14ac:dyDescent="0.35">
      <c r="A18" s="14"/>
      <c r="B18" s="33"/>
      <c r="C18" s="33"/>
      <c r="D18" s="33"/>
      <c r="E18" s="33"/>
    </row>
    <row r="19" spans="1:5" ht="29.5" customHeight="1" x14ac:dyDescent="0.35">
      <c r="A19" s="14"/>
      <c r="B19" s="324" t="s">
        <v>549</v>
      </c>
      <c r="C19" s="324"/>
      <c r="D19" s="324"/>
      <c r="E19" s="21"/>
    </row>
    <row r="20" spans="1:5" ht="29.5" customHeight="1" x14ac:dyDescent="0.35">
      <c r="A20" s="14"/>
      <c r="B20" s="325" t="s">
        <v>550</v>
      </c>
      <c r="C20" s="325"/>
      <c r="D20" s="325"/>
      <c r="E20" s="21"/>
    </row>
    <row r="21" spans="1:5" ht="77.5" customHeight="1" x14ac:dyDescent="0.35">
      <c r="A21" s="14"/>
      <c r="B21" s="24" t="s">
        <v>552</v>
      </c>
      <c r="C21" s="323" t="s">
        <v>615</v>
      </c>
      <c r="D21" s="323"/>
      <c r="E21" s="33"/>
    </row>
    <row r="22" spans="1:5" ht="77.5" customHeight="1" x14ac:dyDescent="0.35">
      <c r="A22" s="14"/>
      <c r="B22" s="24" t="s">
        <v>551</v>
      </c>
      <c r="C22" s="323" t="s">
        <v>697</v>
      </c>
      <c r="D22" s="323"/>
      <c r="E22" s="33"/>
    </row>
    <row r="23" spans="1:5" x14ac:dyDescent="0.35">
      <c r="A23" s="14"/>
      <c r="C23" s="33"/>
      <c r="E23" s="33"/>
    </row>
    <row r="24" spans="1:5" ht="20" x14ac:dyDescent="0.35">
      <c r="A24" s="14"/>
      <c r="B24" s="324" t="s">
        <v>620</v>
      </c>
      <c r="C24" s="324"/>
      <c r="D24" s="324"/>
      <c r="E24" s="33"/>
    </row>
    <row r="25" spans="1:5" ht="43.5" customHeight="1" x14ac:dyDescent="0.35">
      <c r="A25" s="14"/>
      <c r="B25" s="322" t="s">
        <v>641</v>
      </c>
      <c r="C25" s="322"/>
      <c r="D25" s="322"/>
      <c r="E25" s="33"/>
    </row>
    <row r="26" spans="1:5" ht="41.5" customHeight="1" x14ac:dyDescent="0.35">
      <c r="A26" s="14"/>
      <c r="B26" s="24" t="s">
        <v>676</v>
      </c>
      <c r="C26" s="24" t="s">
        <v>677</v>
      </c>
      <c r="D26" s="24" t="s">
        <v>678</v>
      </c>
      <c r="E26" s="33"/>
    </row>
    <row r="27" spans="1:5" ht="50.5" customHeight="1" x14ac:dyDescent="0.35">
      <c r="A27" s="14"/>
      <c r="B27" s="24" t="s">
        <v>616</v>
      </c>
      <c r="C27" s="323" t="s">
        <v>621</v>
      </c>
      <c r="D27" s="323"/>
      <c r="E27" s="33"/>
    </row>
    <row r="28" spans="1:5" ht="143" customHeight="1" x14ac:dyDescent="0.35">
      <c r="A28" s="14"/>
      <c r="B28" s="111" t="s">
        <v>710</v>
      </c>
      <c r="C28" s="110" t="s">
        <v>665</v>
      </c>
      <c r="D28" s="110" t="s">
        <v>706</v>
      </c>
      <c r="E28" s="33"/>
    </row>
    <row r="29" spans="1:5" ht="119.5" customHeight="1" x14ac:dyDescent="0.35">
      <c r="A29" s="14"/>
      <c r="B29" s="111" t="s">
        <v>709</v>
      </c>
      <c r="C29" s="110" t="s">
        <v>666</v>
      </c>
      <c r="D29" s="110" t="s">
        <v>705</v>
      </c>
      <c r="E29" s="33"/>
    </row>
    <row r="30" spans="1:5" ht="50.5" customHeight="1" x14ac:dyDescent="0.35">
      <c r="A30" s="14"/>
      <c r="B30" s="24" t="s">
        <v>617</v>
      </c>
      <c r="C30" s="323" t="s">
        <v>619</v>
      </c>
      <c r="D30" s="323"/>
      <c r="E30" s="33"/>
    </row>
    <row r="31" spans="1:5" ht="105" customHeight="1" x14ac:dyDescent="0.35">
      <c r="A31" s="14"/>
      <c r="B31" s="111" t="s">
        <v>707</v>
      </c>
      <c r="C31" s="110" t="s">
        <v>702</v>
      </c>
      <c r="D31" s="110" t="s">
        <v>703</v>
      </c>
      <c r="E31" s="33"/>
    </row>
    <row r="32" spans="1:5" ht="105" customHeight="1" x14ac:dyDescent="0.35">
      <c r="A32" s="14"/>
      <c r="B32" s="111" t="s">
        <v>708</v>
      </c>
      <c r="C32" s="110" t="s">
        <v>701</v>
      </c>
      <c r="D32" s="110" t="s">
        <v>704</v>
      </c>
      <c r="E32" s="32"/>
    </row>
    <row r="33" spans="1:5" ht="18" customHeight="1" x14ac:dyDescent="0.35">
      <c r="A33" s="14"/>
      <c r="B33" s="300"/>
      <c r="C33" s="301"/>
      <c r="D33" s="301"/>
      <c r="E33" s="32"/>
    </row>
    <row r="34" spans="1:5" ht="29.5" customHeight="1" x14ac:dyDescent="0.35">
      <c r="A34" s="14"/>
      <c r="B34" s="326" t="s">
        <v>522</v>
      </c>
      <c r="C34" s="326"/>
      <c r="D34" s="326"/>
      <c r="E34" s="21"/>
    </row>
    <row r="35" spans="1:5" ht="88" customHeight="1" x14ac:dyDescent="0.35">
      <c r="A35" s="181"/>
      <c r="B35" s="327" t="s">
        <v>533</v>
      </c>
      <c r="C35" s="323"/>
      <c r="D35" s="328"/>
      <c r="E35" s="33"/>
    </row>
    <row r="36" spans="1:5" s="33" customFormat="1" ht="49.5" customHeight="1" x14ac:dyDescent="0.35">
      <c r="A36" s="14"/>
      <c r="B36" s="303" t="s">
        <v>562</v>
      </c>
      <c r="C36" s="323" t="s">
        <v>563</v>
      </c>
      <c r="D36" s="323"/>
    </row>
    <row r="37" spans="1:5" s="33" customFormat="1" ht="49.5" customHeight="1" x14ac:dyDescent="0.35">
      <c r="A37" s="14"/>
      <c r="B37" s="303" t="s">
        <v>524</v>
      </c>
      <c r="C37" s="323" t="s">
        <v>534</v>
      </c>
      <c r="D37" s="323"/>
    </row>
    <row r="38" spans="1:5" s="33" customFormat="1" ht="49.5" customHeight="1" x14ac:dyDescent="0.35">
      <c r="A38" s="14"/>
      <c r="B38" s="303" t="s">
        <v>528</v>
      </c>
      <c r="C38" s="323" t="s">
        <v>535</v>
      </c>
      <c r="D38" s="323"/>
    </row>
    <row r="39" spans="1:5" s="33" customFormat="1" ht="49.5" customHeight="1" x14ac:dyDescent="0.35">
      <c r="A39" s="14"/>
      <c r="B39" s="303" t="s">
        <v>525</v>
      </c>
      <c r="C39" s="323" t="s">
        <v>536</v>
      </c>
      <c r="D39" s="323"/>
    </row>
    <row r="40" spans="1:5" s="33" customFormat="1" ht="49.5" customHeight="1" x14ac:dyDescent="0.35">
      <c r="A40" s="14"/>
      <c r="B40" s="303" t="s">
        <v>65</v>
      </c>
      <c r="C40" s="323" t="s">
        <v>537</v>
      </c>
      <c r="D40" s="323"/>
    </row>
    <row r="41" spans="1:5" s="33" customFormat="1" ht="49.5" customHeight="1" x14ac:dyDescent="0.35">
      <c r="A41" s="14"/>
      <c r="B41" s="111" t="s">
        <v>529</v>
      </c>
      <c r="C41" s="323" t="s">
        <v>538</v>
      </c>
      <c r="D41" s="323"/>
    </row>
    <row r="42" spans="1:5" s="33" customFormat="1" ht="49.5" customHeight="1" x14ac:dyDescent="0.35">
      <c r="A42" s="14"/>
      <c r="B42" s="111" t="s">
        <v>531</v>
      </c>
      <c r="C42" s="323" t="s">
        <v>539</v>
      </c>
      <c r="D42" s="323"/>
    </row>
    <row r="43" spans="1:5" s="33" customFormat="1" ht="49.5" customHeight="1" x14ac:dyDescent="0.35">
      <c r="A43" s="14"/>
      <c r="B43" s="111" t="s">
        <v>530</v>
      </c>
      <c r="C43" s="323" t="s">
        <v>540</v>
      </c>
      <c r="D43" s="323"/>
    </row>
    <row r="44" spans="1:5" s="33" customFormat="1" ht="49.5" customHeight="1" x14ac:dyDescent="0.35">
      <c r="A44" s="14"/>
      <c r="B44" s="111" t="s">
        <v>618</v>
      </c>
      <c r="C44" s="323" t="s">
        <v>541</v>
      </c>
      <c r="D44" s="323"/>
    </row>
    <row r="45" spans="1:5" s="33" customFormat="1" ht="49.5" customHeight="1" x14ac:dyDescent="0.35">
      <c r="A45" s="14"/>
      <c r="B45" s="111" t="s">
        <v>532</v>
      </c>
      <c r="C45" s="323" t="s">
        <v>542</v>
      </c>
      <c r="D45" s="323"/>
    </row>
    <row r="46" spans="1:5" s="33" customFormat="1" ht="49.5" customHeight="1" x14ac:dyDescent="0.35">
      <c r="A46" s="14"/>
      <c r="B46" s="303" t="s">
        <v>393</v>
      </c>
      <c r="C46" s="323" t="s">
        <v>543</v>
      </c>
      <c r="D46" s="323"/>
    </row>
    <row r="47" spans="1:5" s="33" customFormat="1" ht="49.5" customHeight="1" x14ac:dyDescent="0.35">
      <c r="A47" s="109"/>
      <c r="B47" s="303" t="s">
        <v>399</v>
      </c>
      <c r="C47" s="323" t="s">
        <v>544</v>
      </c>
      <c r="D47" s="323"/>
    </row>
    <row r="48" spans="1:5" s="33" customFormat="1" ht="49.5" customHeight="1" x14ac:dyDescent="0.35">
      <c r="A48" s="109"/>
      <c r="B48" s="303" t="s">
        <v>608</v>
      </c>
      <c r="C48" s="323" t="s">
        <v>545</v>
      </c>
      <c r="D48" s="323"/>
    </row>
    <row r="49" spans="1:4" s="33" customFormat="1" ht="49.5" customHeight="1" x14ac:dyDescent="0.35">
      <c r="A49" s="109"/>
      <c r="B49" s="303" t="s">
        <v>608</v>
      </c>
      <c r="C49" s="323" t="s">
        <v>546</v>
      </c>
      <c r="D49" s="323"/>
    </row>
    <row r="50" spans="1:4" s="33" customFormat="1" ht="49.5" customHeight="1" x14ac:dyDescent="0.35">
      <c r="A50" s="109"/>
      <c r="B50" s="303" t="s">
        <v>609</v>
      </c>
      <c r="C50" s="323" t="s">
        <v>611</v>
      </c>
      <c r="D50" s="323"/>
    </row>
    <row r="51" spans="1:4" s="33" customFormat="1" ht="49.5" customHeight="1" x14ac:dyDescent="0.35">
      <c r="A51" s="109"/>
      <c r="B51" s="303" t="s">
        <v>610</v>
      </c>
      <c r="C51" s="323" t="s">
        <v>612</v>
      </c>
      <c r="D51" s="323"/>
    </row>
    <row r="52" spans="1:4" s="33" customFormat="1" ht="49.5" customHeight="1" x14ac:dyDescent="0.35">
      <c r="A52" s="109"/>
      <c r="B52" s="303" t="s">
        <v>526</v>
      </c>
      <c r="C52" s="323" t="s">
        <v>613</v>
      </c>
      <c r="D52" s="323"/>
    </row>
    <row r="53" spans="1:4" s="33" customFormat="1" ht="49.5" customHeight="1" x14ac:dyDescent="0.35">
      <c r="A53" s="109"/>
      <c r="B53" s="303" t="s">
        <v>527</v>
      </c>
      <c r="C53" s="323" t="s">
        <v>547</v>
      </c>
      <c r="D53" s="323"/>
    </row>
    <row r="54" spans="1:4" x14ac:dyDescent="0.35">
      <c r="D54" s="15"/>
    </row>
  </sheetData>
  <sheetProtection algorithmName="SHA-512" hashValue="Zvp0hpQywUN+531GRucCO7YVmG/UDliekwtaOf4BO/nzSMqEVX5oGy2yl2W7r03cCgh69/pZXeBGZ0UB9iqqwA==" saltValue="JF67YGVhUkyH8s12BQXS0w==" spinCount="100000" sheet="1" objects="1" scenarios="1"/>
  <mergeCells count="44">
    <mergeCell ref="B2:D2"/>
    <mergeCell ref="B4:D4"/>
    <mergeCell ref="B5:D5"/>
    <mergeCell ref="B7:D7"/>
    <mergeCell ref="B1:D1"/>
    <mergeCell ref="B3:C3"/>
    <mergeCell ref="B6:C6"/>
    <mergeCell ref="B8:D8"/>
    <mergeCell ref="C9:D9"/>
    <mergeCell ref="C10:D10"/>
    <mergeCell ref="C11:D11"/>
    <mergeCell ref="C12:D12"/>
    <mergeCell ref="B14:D14"/>
    <mergeCell ref="C16:D16"/>
    <mergeCell ref="C17:D17"/>
    <mergeCell ref="C47:D47"/>
    <mergeCell ref="C45:D45"/>
    <mergeCell ref="C46:D46"/>
    <mergeCell ref="B19:D19"/>
    <mergeCell ref="B20:D20"/>
    <mergeCell ref="C21:D21"/>
    <mergeCell ref="C22:D22"/>
    <mergeCell ref="B25:D25"/>
    <mergeCell ref="B24:D24"/>
    <mergeCell ref="B34:D34"/>
    <mergeCell ref="B35:D35"/>
    <mergeCell ref="C40:D40"/>
    <mergeCell ref="C39:D39"/>
    <mergeCell ref="C53:D53"/>
    <mergeCell ref="C52:D52"/>
    <mergeCell ref="C51:D51"/>
    <mergeCell ref="C50:D50"/>
    <mergeCell ref="C49:D49"/>
    <mergeCell ref="C48:D48"/>
    <mergeCell ref="C44:D44"/>
    <mergeCell ref="C43:D43"/>
    <mergeCell ref="C42:D42"/>
    <mergeCell ref="C41:D41"/>
    <mergeCell ref="B15:D15"/>
    <mergeCell ref="C38:D38"/>
    <mergeCell ref="C37:D37"/>
    <mergeCell ref="C36:D36"/>
    <mergeCell ref="C30:D30"/>
    <mergeCell ref="C27:D27"/>
  </mergeCells>
  <hyperlinks>
    <hyperlink ref="B37" location="'Tool - Reference'!A1" display="Tool - Reference" xr:uid="{4077F19F-24C3-4E63-968C-E39F47C35115}"/>
    <hyperlink ref="B38" location="'Tool - EFs &amp; Helpers'!A1" display="Tool - EFs &amp; Helper cells" xr:uid="{B863CC82-7B33-43E6-A1DB-32C9B585C5BB}"/>
    <hyperlink ref="B39" location="'Company - TOC'!A1" display="Company - TOC" xr:uid="{F6D00AF9-2BEF-485F-B950-1EE71740D1CF}"/>
    <hyperlink ref="B40" location="'Project Description'!A1" display="Project Description" xr:uid="{C2339B2D-4843-4059-9F7B-B67558612626}"/>
    <hyperlink ref="B46" location="'Baseline Inventory'!A1" display="Baseline Inventory" xr:uid="{D259B0E1-7DEA-4E70-9872-D878CD005F9D}"/>
    <hyperlink ref="B47" location="'Baseline Emissions'!A1" display="Baseline Emissions" xr:uid="{5806E40F-4722-414A-BED2-BCF094FD5CBE}"/>
    <hyperlink ref="B48" location="'Annual (or) Project Inventory'!A1" display="Annual (or) Project Emissions" xr:uid="{8E99AAE2-F23F-47C1-80FA-E80B749BD131}"/>
    <hyperlink ref="B49" location="'Annual (or) Project Emissions'!A1" display="Annual (or) Project Emissions" xr:uid="{CCEA18A9-E8E9-4C2E-A196-DBD0C2815D08}"/>
    <hyperlink ref="B52" location="'Investor Inventory'!A1" display="Investor Inventory" xr:uid="{057137FB-21C8-4457-BB3A-7AB9DD201B15}"/>
    <hyperlink ref="B53" location="'Investor Ready Impact Results'!A1" display="Investor Ready Impact Results" xr:uid="{A0733275-C012-410D-952B-F501B1A1DC6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34E03-7939-4D2C-BE88-95B65FDF89EA}">
  <sheetPr codeName="Sheet2">
    <tabColor theme="4"/>
  </sheetPr>
  <dimension ref="B1:D66"/>
  <sheetViews>
    <sheetView showGridLines="0" zoomScale="55" zoomScaleNormal="55" workbookViewId="0">
      <selection activeCell="J41" sqref="J41"/>
    </sheetView>
  </sheetViews>
  <sheetFormatPr defaultRowHeight="15.5" x14ac:dyDescent="0.35"/>
  <cols>
    <col min="1" max="1" width="9.1796875" style="109" customWidth="1"/>
    <col min="2" max="2" width="45.26953125" style="302" customWidth="1"/>
    <col min="3" max="3" width="82.54296875" style="109" customWidth="1"/>
    <col min="4" max="4" width="60.81640625" style="109" customWidth="1"/>
    <col min="5" max="16384" width="8.7265625" style="109"/>
  </cols>
  <sheetData>
    <row r="1" spans="2:4" ht="84.5" customHeight="1" x14ac:dyDescent="0.35">
      <c r="B1" s="331" t="s">
        <v>561</v>
      </c>
      <c r="C1" s="331"/>
      <c r="D1" s="331"/>
    </row>
    <row r="3" spans="2:4" ht="30" customHeight="1" x14ac:dyDescent="0.35">
      <c r="B3" s="24" t="s">
        <v>622</v>
      </c>
      <c r="C3" s="340" t="s">
        <v>21</v>
      </c>
      <c r="D3" s="340"/>
    </row>
    <row r="4" spans="2:4" ht="30" customHeight="1" x14ac:dyDescent="0.35">
      <c r="B4" s="333" t="s">
        <v>723</v>
      </c>
      <c r="C4" s="334"/>
      <c r="D4" s="335"/>
    </row>
    <row r="5" spans="2:4" ht="30" customHeight="1" x14ac:dyDescent="0.35">
      <c r="B5" s="115" t="s">
        <v>1</v>
      </c>
      <c r="C5" s="336" t="s">
        <v>725</v>
      </c>
      <c r="D5" s="336"/>
    </row>
    <row r="6" spans="2:4" ht="30" customHeight="1" x14ac:dyDescent="0.35">
      <c r="B6" s="115" t="s">
        <v>3</v>
      </c>
      <c r="C6" s="336" t="s">
        <v>726</v>
      </c>
      <c r="D6" s="336"/>
    </row>
    <row r="7" spans="2:4" ht="30" customHeight="1" x14ac:dyDescent="0.35">
      <c r="B7" s="115" t="s">
        <v>11</v>
      </c>
      <c r="C7" s="336" t="s">
        <v>727</v>
      </c>
      <c r="D7" s="336"/>
    </row>
    <row r="8" spans="2:4" ht="30" customHeight="1" x14ac:dyDescent="0.35">
      <c r="B8" s="115" t="s">
        <v>4</v>
      </c>
      <c r="C8" s="336" t="s">
        <v>728</v>
      </c>
      <c r="D8" s="336"/>
    </row>
    <row r="9" spans="2:4" ht="30" customHeight="1" x14ac:dyDescent="0.35">
      <c r="B9" s="115" t="s">
        <v>497</v>
      </c>
      <c r="C9" s="336" t="s">
        <v>729</v>
      </c>
      <c r="D9" s="336"/>
    </row>
    <row r="10" spans="2:4" ht="30" customHeight="1" x14ac:dyDescent="0.35">
      <c r="B10" s="305"/>
      <c r="C10" s="338"/>
      <c r="D10" s="339"/>
    </row>
    <row r="11" spans="2:4" ht="30" customHeight="1" x14ac:dyDescent="0.35">
      <c r="B11" s="333" t="s">
        <v>722</v>
      </c>
      <c r="C11" s="334"/>
      <c r="D11" s="335"/>
    </row>
    <row r="12" spans="2:4" ht="30" customHeight="1" x14ac:dyDescent="0.35">
      <c r="B12" s="115" t="s">
        <v>66</v>
      </c>
      <c r="C12" s="336" t="s">
        <v>730</v>
      </c>
      <c r="D12" s="336"/>
    </row>
    <row r="13" spans="2:4" ht="30" customHeight="1" x14ac:dyDescent="0.35">
      <c r="B13" s="115" t="s">
        <v>67</v>
      </c>
      <c r="C13" s="336" t="s">
        <v>731</v>
      </c>
      <c r="D13" s="336"/>
    </row>
    <row r="14" spans="2:4" ht="30" customHeight="1" x14ac:dyDescent="0.35">
      <c r="B14" s="115" t="s">
        <v>492</v>
      </c>
      <c r="C14" s="341" t="s">
        <v>732</v>
      </c>
      <c r="D14" s="341"/>
    </row>
    <row r="15" spans="2:4" ht="30" customHeight="1" x14ac:dyDescent="0.35">
      <c r="B15" s="115" t="s">
        <v>71</v>
      </c>
      <c r="C15" s="336" t="s">
        <v>733</v>
      </c>
      <c r="D15" s="336"/>
    </row>
    <row r="16" spans="2:4" ht="30" customHeight="1" x14ac:dyDescent="0.35">
      <c r="B16" s="115" t="s">
        <v>72</v>
      </c>
      <c r="C16" s="342" t="s">
        <v>734</v>
      </c>
      <c r="D16" s="342"/>
    </row>
    <row r="17" spans="2:4" ht="30" customHeight="1" x14ac:dyDescent="0.35">
      <c r="B17" s="115" t="s">
        <v>73</v>
      </c>
      <c r="C17" s="336" t="s">
        <v>735</v>
      </c>
      <c r="D17" s="336"/>
    </row>
    <row r="18" spans="2:4" ht="30" customHeight="1" x14ac:dyDescent="0.35">
      <c r="B18" s="305"/>
      <c r="C18" s="338"/>
      <c r="D18" s="339"/>
    </row>
    <row r="19" spans="2:4" ht="30" customHeight="1" x14ac:dyDescent="0.35">
      <c r="B19" s="333" t="s">
        <v>721</v>
      </c>
      <c r="C19" s="334"/>
      <c r="D19" s="335"/>
    </row>
    <row r="20" spans="2:4" ht="30" customHeight="1" x14ac:dyDescent="0.35">
      <c r="B20" s="115" t="s">
        <v>59</v>
      </c>
      <c r="C20" s="336" t="s">
        <v>736</v>
      </c>
      <c r="D20" s="336"/>
    </row>
    <row r="21" spans="2:4" ht="30" customHeight="1" x14ac:dyDescent="0.35">
      <c r="B21" s="115" t="s">
        <v>469</v>
      </c>
      <c r="C21" s="336" t="s">
        <v>737</v>
      </c>
      <c r="D21" s="336"/>
    </row>
    <row r="22" spans="2:4" ht="30" customHeight="1" x14ac:dyDescent="0.35">
      <c r="B22" s="115" t="s">
        <v>636</v>
      </c>
      <c r="C22" s="336" t="s">
        <v>738</v>
      </c>
      <c r="D22" s="336"/>
    </row>
    <row r="23" spans="2:4" ht="30" customHeight="1" x14ac:dyDescent="0.35">
      <c r="B23" s="115" t="s">
        <v>590</v>
      </c>
      <c r="C23" s="336" t="s">
        <v>739</v>
      </c>
      <c r="D23" s="336"/>
    </row>
    <row r="24" spans="2:4" ht="30" customHeight="1" x14ac:dyDescent="0.35">
      <c r="B24" s="115" t="s">
        <v>593</v>
      </c>
      <c r="C24" s="336" t="s">
        <v>740</v>
      </c>
      <c r="D24" s="336"/>
    </row>
    <row r="25" spans="2:4" ht="30" customHeight="1" x14ac:dyDescent="0.35">
      <c r="B25" s="115" t="s">
        <v>501</v>
      </c>
      <c r="C25" s="336" t="s">
        <v>741</v>
      </c>
      <c r="D25" s="336"/>
    </row>
    <row r="26" spans="2:4" ht="30" customHeight="1" x14ac:dyDescent="0.35">
      <c r="B26" s="115" t="s">
        <v>711</v>
      </c>
      <c r="C26" s="336" t="s">
        <v>742</v>
      </c>
      <c r="D26" s="336"/>
    </row>
    <row r="27" spans="2:4" ht="30" customHeight="1" x14ac:dyDescent="0.35">
      <c r="B27" s="115" t="s">
        <v>712</v>
      </c>
      <c r="C27" s="336" t="s">
        <v>743</v>
      </c>
      <c r="D27" s="336"/>
    </row>
    <row r="28" spans="2:4" ht="30" customHeight="1" x14ac:dyDescent="0.35">
      <c r="B28" s="115" t="s">
        <v>592</v>
      </c>
      <c r="C28" s="336" t="s">
        <v>744</v>
      </c>
      <c r="D28" s="336"/>
    </row>
    <row r="29" spans="2:4" ht="30" customHeight="1" x14ac:dyDescent="0.35">
      <c r="B29" s="115" t="s">
        <v>466</v>
      </c>
      <c r="C29" s="336" t="s">
        <v>745</v>
      </c>
      <c r="D29" s="336"/>
    </row>
    <row r="30" spans="2:4" ht="30" customHeight="1" x14ac:dyDescent="0.35">
      <c r="B30" s="115" t="s">
        <v>637</v>
      </c>
      <c r="C30" s="336" t="s">
        <v>746</v>
      </c>
      <c r="D30" s="336"/>
    </row>
    <row r="31" spans="2:4" ht="30" customHeight="1" x14ac:dyDescent="0.35">
      <c r="B31" s="115" t="s">
        <v>394</v>
      </c>
      <c r="C31" s="336" t="s">
        <v>747</v>
      </c>
      <c r="D31" s="336"/>
    </row>
    <row r="32" spans="2:4" ht="30" customHeight="1" x14ac:dyDescent="0.35">
      <c r="B32" s="305"/>
      <c r="C32" s="338"/>
      <c r="D32" s="339"/>
    </row>
    <row r="33" spans="2:4" ht="30" customHeight="1" x14ac:dyDescent="0.35">
      <c r="B33" s="333" t="s">
        <v>720</v>
      </c>
      <c r="C33" s="334"/>
      <c r="D33" s="335"/>
    </row>
    <row r="34" spans="2:4" ht="30" customHeight="1" x14ac:dyDescent="0.35">
      <c r="B34" s="22" t="s">
        <v>674</v>
      </c>
      <c r="C34" s="336" t="s">
        <v>748</v>
      </c>
      <c r="D34" s="336"/>
    </row>
    <row r="35" spans="2:4" ht="30" customHeight="1" x14ac:dyDescent="0.35">
      <c r="B35" s="115" t="s">
        <v>51</v>
      </c>
      <c r="C35" s="336" t="s">
        <v>749</v>
      </c>
      <c r="D35" s="336"/>
    </row>
    <row r="36" spans="2:4" ht="30" customHeight="1" x14ac:dyDescent="0.35">
      <c r="B36" s="115" t="s">
        <v>52</v>
      </c>
      <c r="C36" s="336" t="s">
        <v>750</v>
      </c>
      <c r="D36" s="336"/>
    </row>
    <row r="37" spans="2:4" ht="30" customHeight="1" x14ac:dyDescent="0.35">
      <c r="B37" s="22" t="s">
        <v>673</v>
      </c>
      <c r="C37" s="336" t="s">
        <v>751</v>
      </c>
      <c r="D37" s="336"/>
    </row>
    <row r="38" spans="2:4" ht="30" customHeight="1" x14ac:dyDescent="0.35">
      <c r="B38" s="115" t="s">
        <v>22</v>
      </c>
      <c r="C38" s="336" t="s">
        <v>752</v>
      </c>
      <c r="D38" s="336"/>
    </row>
    <row r="39" spans="2:4" ht="30" customHeight="1" x14ac:dyDescent="0.35">
      <c r="B39" s="115" t="s">
        <v>55</v>
      </c>
      <c r="C39" s="336" t="s">
        <v>753</v>
      </c>
      <c r="D39" s="336"/>
    </row>
    <row r="40" spans="2:4" ht="30" customHeight="1" x14ac:dyDescent="0.35">
      <c r="B40" s="22" t="s">
        <v>671</v>
      </c>
      <c r="C40" s="336" t="s">
        <v>754</v>
      </c>
      <c r="D40" s="336"/>
    </row>
    <row r="41" spans="2:4" ht="30" customHeight="1" x14ac:dyDescent="0.35">
      <c r="B41" s="115" t="s">
        <v>383</v>
      </c>
      <c r="C41" s="336" t="s">
        <v>755</v>
      </c>
      <c r="D41" s="336"/>
    </row>
    <row r="42" spans="2:4" ht="30" customHeight="1" x14ac:dyDescent="0.35">
      <c r="B42" s="115" t="s">
        <v>42</v>
      </c>
      <c r="C42" s="336" t="s">
        <v>756</v>
      </c>
      <c r="D42" s="336"/>
    </row>
    <row r="43" spans="2:4" ht="30" customHeight="1" x14ac:dyDescent="0.35">
      <c r="B43" s="115" t="s">
        <v>381</v>
      </c>
      <c r="C43" s="336" t="s">
        <v>757</v>
      </c>
      <c r="D43" s="336"/>
    </row>
    <row r="44" spans="2:4" ht="30" customHeight="1" x14ac:dyDescent="0.35">
      <c r="B44" s="22" t="s">
        <v>672</v>
      </c>
      <c r="C44" s="336" t="s">
        <v>758</v>
      </c>
      <c r="D44" s="336"/>
    </row>
    <row r="45" spans="2:4" ht="30" customHeight="1" x14ac:dyDescent="0.35">
      <c r="B45" s="115" t="s">
        <v>713</v>
      </c>
      <c r="C45" s="336" t="s">
        <v>759</v>
      </c>
      <c r="D45" s="336"/>
    </row>
    <row r="46" spans="2:4" ht="30" customHeight="1" x14ac:dyDescent="0.35">
      <c r="B46" s="305"/>
      <c r="C46" s="338"/>
      <c r="D46" s="339"/>
    </row>
    <row r="47" spans="2:4" ht="30" customHeight="1" x14ac:dyDescent="0.35">
      <c r="B47" s="333" t="s">
        <v>719</v>
      </c>
      <c r="C47" s="334"/>
      <c r="D47" s="335"/>
    </row>
    <row r="48" spans="2:4" ht="30" customHeight="1" x14ac:dyDescent="0.35">
      <c r="B48" s="115" t="s">
        <v>714</v>
      </c>
      <c r="C48" s="336" t="s">
        <v>761</v>
      </c>
      <c r="D48" s="336"/>
    </row>
    <row r="49" spans="2:4" ht="30" customHeight="1" x14ac:dyDescent="0.35">
      <c r="B49" s="115" t="s">
        <v>448</v>
      </c>
      <c r="C49" s="336" t="s">
        <v>762</v>
      </c>
      <c r="D49" s="336"/>
    </row>
    <row r="50" spans="2:4" ht="30" customHeight="1" x14ac:dyDescent="0.35">
      <c r="B50" s="115" t="s">
        <v>715</v>
      </c>
      <c r="C50" s="336" t="s">
        <v>763</v>
      </c>
      <c r="D50" s="336"/>
    </row>
    <row r="51" spans="2:4" ht="30" customHeight="1" x14ac:dyDescent="0.35">
      <c r="B51" s="115" t="s">
        <v>449</v>
      </c>
      <c r="C51" s="336" t="s">
        <v>764</v>
      </c>
      <c r="D51" s="336"/>
    </row>
    <row r="52" spans="2:4" ht="30" customHeight="1" x14ac:dyDescent="0.35">
      <c r="B52" s="115" t="s">
        <v>464</v>
      </c>
      <c r="C52" s="336" t="s">
        <v>760</v>
      </c>
      <c r="D52" s="336"/>
    </row>
    <row r="53" spans="2:4" ht="30" customHeight="1" x14ac:dyDescent="0.35">
      <c r="B53" s="305"/>
      <c r="C53" s="306"/>
      <c r="D53" s="306"/>
    </row>
    <row r="54" spans="2:4" ht="30" customHeight="1" x14ac:dyDescent="0.35">
      <c r="B54" s="337" t="s">
        <v>718</v>
      </c>
      <c r="C54" s="337"/>
      <c r="D54" s="337"/>
    </row>
    <row r="55" spans="2:4" ht="30" customHeight="1" x14ac:dyDescent="0.35">
      <c r="B55" s="22" t="s">
        <v>595</v>
      </c>
      <c r="C55" s="336" t="s">
        <v>765</v>
      </c>
      <c r="D55" s="336"/>
    </row>
    <row r="56" spans="2:4" ht="30" customHeight="1" x14ac:dyDescent="0.35">
      <c r="B56" s="115" t="s">
        <v>597</v>
      </c>
      <c r="C56" s="336" t="s">
        <v>766</v>
      </c>
      <c r="D56" s="336"/>
    </row>
    <row r="57" spans="2:4" ht="30" customHeight="1" x14ac:dyDescent="0.35">
      <c r="B57" s="115" t="s">
        <v>598</v>
      </c>
      <c r="C57" s="336" t="s">
        <v>767</v>
      </c>
      <c r="D57" s="336"/>
    </row>
    <row r="58" spans="2:4" ht="30" customHeight="1" x14ac:dyDescent="0.35">
      <c r="B58" s="115" t="s">
        <v>603</v>
      </c>
      <c r="C58" s="336" t="s">
        <v>768</v>
      </c>
      <c r="D58" s="336"/>
    </row>
    <row r="59" spans="2:4" ht="30" customHeight="1" x14ac:dyDescent="0.35">
      <c r="B59" s="22" t="s">
        <v>599</v>
      </c>
      <c r="C59" s="336" t="s">
        <v>773</v>
      </c>
      <c r="D59" s="336"/>
    </row>
    <row r="60" spans="2:4" ht="30" customHeight="1" x14ac:dyDescent="0.35">
      <c r="B60" s="115" t="s">
        <v>600</v>
      </c>
      <c r="C60" s="336" t="s">
        <v>769</v>
      </c>
      <c r="D60" s="336"/>
    </row>
    <row r="61" spans="2:4" ht="30" customHeight="1" x14ac:dyDescent="0.35">
      <c r="B61" s="305"/>
      <c r="C61" s="338"/>
      <c r="D61" s="339"/>
    </row>
    <row r="62" spans="2:4" ht="30" customHeight="1" x14ac:dyDescent="0.35">
      <c r="B62" s="333" t="s">
        <v>724</v>
      </c>
      <c r="C62" s="334"/>
      <c r="D62" s="335"/>
    </row>
    <row r="63" spans="2:4" ht="30" customHeight="1" x14ac:dyDescent="0.35">
      <c r="B63" s="115" t="s">
        <v>698</v>
      </c>
      <c r="C63" s="336" t="s">
        <v>770</v>
      </c>
      <c r="D63" s="336"/>
    </row>
    <row r="64" spans="2:4" ht="30" customHeight="1" x14ac:dyDescent="0.35">
      <c r="B64" s="115" t="s">
        <v>716</v>
      </c>
      <c r="C64" s="336" t="s">
        <v>771</v>
      </c>
      <c r="D64" s="336"/>
    </row>
    <row r="65" spans="2:4" ht="30" customHeight="1" x14ac:dyDescent="0.35">
      <c r="B65" s="115" t="s">
        <v>717</v>
      </c>
      <c r="C65" s="336" t="s">
        <v>772</v>
      </c>
      <c r="D65" s="336"/>
    </row>
    <row r="66" spans="2:4" ht="18" x14ac:dyDescent="0.35">
      <c r="C66" s="15"/>
      <c r="D66" s="15"/>
    </row>
  </sheetData>
  <sheetProtection algorithmName="SHA-512" hashValue="bDuPM6a+sDuM8PYPRVJoLpSyfdhiaCd0x8/6ljAc/2+IEy08YI/hz5dks2VMnWDtJRZbV4wGe0NQ3uuxfW3wZQ==" saltValue="LrhFAUvVWh6rYmPsynklCg==" spinCount="100000" sheet="1" objects="1" scenarios="1"/>
  <mergeCells count="63">
    <mergeCell ref="C25:D25"/>
    <mergeCell ref="C26:D26"/>
    <mergeCell ref="C20:D20"/>
    <mergeCell ref="C21:D21"/>
    <mergeCell ref="C22:D22"/>
    <mergeCell ref="C23:D23"/>
    <mergeCell ref="C24:D24"/>
    <mergeCell ref="B1:D1"/>
    <mergeCell ref="C3:D3"/>
    <mergeCell ref="C5:D5"/>
    <mergeCell ref="C17:D17"/>
    <mergeCell ref="C18:D18"/>
    <mergeCell ref="C12:D12"/>
    <mergeCell ref="C13:D13"/>
    <mergeCell ref="C14:D14"/>
    <mergeCell ref="C15:D15"/>
    <mergeCell ref="C16:D16"/>
    <mergeCell ref="C6:D6"/>
    <mergeCell ref="C7:D7"/>
    <mergeCell ref="C8:D8"/>
    <mergeCell ref="C9:D9"/>
    <mergeCell ref="C10:D10"/>
    <mergeCell ref="C42:D42"/>
    <mergeCell ref="C43:D43"/>
    <mergeCell ref="C44:D44"/>
    <mergeCell ref="C45:D45"/>
    <mergeCell ref="C36:D36"/>
    <mergeCell ref="C37:D37"/>
    <mergeCell ref="C38:D38"/>
    <mergeCell ref="C39:D39"/>
    <mergeCell ref="C40:D40"/>
    <mergeCell ref="C41:D41"/>
    <mergeCell ref="C32:D32"/>
    <mergeCell ref="C34:D34"/>
    <mergeCell ref="C35:D35"/>
    <mergeCell ref="C27:D27"/>
    <mergeCell ref="C28:D28"/>
    <mergeCell ref="C29:D29"/>
    <mergeCell ref="C30:D30"/>
    <mergeCell ref="C31:D31"/>
    <mergeCell ref="C51:D51"/>
    <mergeCell ref="C52:D52"/>
    <mergeCell ref="C55:D55"/>
    <mergeCell ref="C46:D46"/>
    <mergeCell ref="C48:D48"/>
    <mergeCell ref="C49:D49"/>
    <mergeCell ref="C50:D50"/>
    <mergeCell ref="B19:D19"/>
    <mergeCell ref="B11:D11"/>
    <mergeCell ref="B4:D4"/>
    <mergeCell ref="B47:D47"/>
    <mergeCell ref="C65:D65"/>
    <mergeCell ref="B54:D54"/>
    <mergeCell ref="B62:D62"/>
    <mergeCell ref="B33:D33"/>
    <mergeCell ref="C60:D60"/>
    <mergeCell ref="C61:D61"/>
    <mergeCell ref="C63:D63"/>
    <mergeCell ref="C64:D64"/>
    <mergeCell ref="C56:D56"/>
    <mergeCell ref="C57:D57"/>
    <mergeCell ref="C58:D58"/>
    <mergeCell ref="C59:D5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61042-2CDB-4B29-9C1E-60609AE1A5B9}">
  <sheetPr codeName="Sheet3">
    <tabColor theme="4"/>
  </sheetPr>
  <dimension ref="A1:C43"/>
  <sheetViews>
    <sheetView showGridLines="0" zoomScale="55" zoomScaleNormal="55" workbookViewId="0">
      <selection activeCell="B22" sqref="B22"/>
    </sheetView>
  </sheetViews>
  <sheetFormatPr defaultRowHeight="15.5" x14ac:dyDescent="0.35"/>
  <cols>
    <col min="1" max="1" width="9.1796875" style="109" customWidth="1"/>
    <col min="2" max="2" width="67.7265625" style="109" customWidth="1"/>
    <col min="3" max="3" width="168" style="109" customWidth="1"/>
    <col min="4" max="4" width="20.26953125" style="109" customWidth="1"/>
    <col min="5" max="5" width="14.453125" style="109" customWidth="1"/>
    <col min="6" max="6" width="21" style="109" customWidth="1"/>
    <col min="7" max="7" width="87.90625" style="109" bestFit="1" customWidth="1"/>
    <col min="8" max="16384" width="8.7265625" style="109"/>
  </cols>
  <sheetData>
    <row r="1" spans="1:3" ht="84.5" customHeight="1" x14ac:dyDescent="0.35">
      <c r="B1" s="331" t="s">
        <v>561</v>
      </c>
      <c r="C1" s="331"/>
    </row>
    <row r="3" spans="1:3" ht="20.5" x14ac:dyDescent="0.35">
      <c r="A3" s="181"/>
      <c r="B3" s="23" t="s">
        <v>257</v>
      </c>
      <c r="C3" s="23" t="s">
        <v>569</v>
      </c>
    </row>
    <row r="4" spans="1:3" x14ac:dyDescent="0.35">
      <c r="B4" s="23" t="s">
        <v>564</v>
      </c>
      <c r="C4" s="125"/>
    </row>
    <row r="5" spans="1:3" ht="18" x14ac:dyDescent="0.35">
      <c r="A5" s="14"/>
      <c r="B5" s="126" t="s">
        <v>565</v>
      </c>
      <c r="C5" s="127" t="s">
        <v>570</v>
      </c>
    </row>
    <row r="6" spans="1:3" ht="18" x14ac:dyDescent="0.35">
      <c r="A6" s="14"/>
      <c r="B6" s="126" t="s">
        <v>566</v>
      </c>
      <c r="C6" s="127" t="s">
        <v>572</v>
      </c>
    </row>
    <row r="7" spans="1:3" ht="18" x14ac:dyDescent="0.35">
      <c r="A7" s="14"/>
      <c r="B7" s="126" t="s">
        <v>571</v>
      </c>
      <c r="C7" s="126" t="s">
        <v>573</v>
      </c>
    </row>
    <row r="8" spans="1:3" ht="18" x14ac:dyDescent="0.35">
      <c r="A8" s="14"/>
      <c r="B8" s="128"/>
      <c r="C8" s="126"/>
    </row>
    <row r="9" spans="1:3" ht="18" x14ac:dyDescent="0.35">
      <c r="A9" s="14"/>
      <c r="B9" s="23" t="s">
        <v>380</v>
      </c>
      <c r="C9" s="125"/>
    </row>
    <row r="10" spans="1:3" ht="18" x14ac:dyDescent="0.35">
      <c r="A10" s="14"/>
      <c r="B10" s="126" t="s">
        <v>422</v>
      </c>
      <c r="C10" s="126" t="s">
        <v>567</v>
      </c>
    </row>
    <row r="11" spans="1:3" ht="37" customHeight="1" x14ac:dyDescent="0.35">
      <c r="A11" s="14"/>
      <c r="B11" s="126" t="s">
        <v>428</v>
      </c>
      <c r="C11" s="130" t="s">
        <v>568</v>
      </c>
    </row>
    <row r="12" spans="1:3" ht="18" x14ac:dyDescent="0.35">
      <c r="A12" s="14"/>
      <c r="B12" s="126"/>
      <c r="C12" s="126"/>
    </row>
    <row r="13" spans="1:3" ht="18" x14ac:dyDescent="0.35">
      <c r="A13" s="14"/>
      <c r="B13" s="23" t="s">
        <v>496</v>
      </c>
      <c r="C13" s="125"/>
    </row>
    <row r="14" spans="1:3" ht="18" x14ac:dyDescent="0.35">
      <c r="A14" s="14"/>
      <c r="B14" s="126" t="s">
        <v>495</v>
      </c>
      <c r="C14" s="129" t="s">
        <v>18</v>
      </c>
    </row>
    <row r="15" spans="1:3" ht="18" x14ac:dyDescent="0.35">
      <c r="A15" s="14"/>
      <c r="B15" s="126"/>
      <c r="C15" s="129"/>
    </row>
    <row r="16" spans="1:3" ht="18" x14ac:dyDescent="0.35">
      <c r="A16" s="14"/>
      <c r="B16" s="23" t="s">
        <v>503</v>
      </c>
      <c r="C16" s="125"/>
    </row>
    <row r="17" spans="1:3" ht="18" x14ac:dyDescent="0.35">
      <c r="A17" s="14"/>
      <c r="B17" s="126" t="s">
        <v>504</v>
      </c>
      <c r="C17" s="129" t="s">
        <v>502</v>
      </c>
    </row>
    <row r="18" spans="1:3" ht="18" x14ac:dyDescent="0.35">
      <c r="A18" s="14"/>
    </row>
    <row r="19" spans="1:3" ht="18" x14ac:dyDescent="0.35">
      <c r="A19" s="14"/>
    </row>
    <row r="20" spans="1:3" ht="18" x14ac:dyDescent="0.35">
      <c r="A20" s="14"/>
    </row>
    <row r="21" spans="1:3" ht="18" x14ac:dyDescent="0.35">
      <c r="A21" s="14"/>
    </row>
    <row r="22" spans="1:3" ht="18" x14ac:dyDescent="0.35">
      <c r="A22" s="14"/>
    </row>
    <row r="23" spans="1:3" ht="18" x14ac:dyDescent="0.35">
      <c r="A23" s="14"/>
    </row>
    <row r="24" spans="1:3" ht="18" x14ac:dyDescent="0.35">
      <c r="A24" s="14"/>
    </row>
    <row r="25" spans="1:3" ht="18" x14ac:dyDescent="0.35">
      <c r="A25" s="14"/>
    </row>
    <row r="26" spans="1:3" ht="18" x14ac:dyDescent="0.35">
      <c r="A26" s="14"/>
    </row>
    <row r="27" spans="1:3" ht="18" x14ac:dyDescent="0.35">
      <c r="A27" s="14"/>
    </row>
    <row r="28" spans="1:3" ht="18" x14ac:dyDescent="0.35">
      <c r="A28" s="14"/>
    </row>
    <row r="29" spans="1:3" ht="18" x14ac:dyDescent="0.35">
      <c r="A29" s="14"/>
      <c r="B29" s="13"/>
      <c r="C29" s="13"/>
    </row>
    <row r="30" spans="1:3" ht="18" x14ac:dyDescent="0.35">
      <c r="A30" s="14"/>
      <c r="B30" s="13"/>
      <c r="C30" s="13"/>
    </row>
    <row r="31" spans="1:3" ht="18" x14ac:dyDescent="0.35">
      <c r="A31" s="14"/>
      <c r="B31" s="13"/>
      <c r="C31" s="13"/>
    </row>
    <row r="32" spans="1:3" ht="20.5" x14ac:dyDescent="0.35">
      <c r="A32" s="181"/>
      <c r="B32" s="13"/>
      <c r="C32" s="13"/>
    </row>
    <row r="33" spans="1:3" ht="18" x14ac:dyDescent="0.35">
      <c r="A33" s="14"/>
      <c r="B33" s="13"/>
      <c r="C33" s="13"/>
    </row>
    <row r="34" spans="1:3" ht="18" x14ac:dyDescent="0.35">
      <c r="A34" s="14"/>
      <c r="B34" s="13"/>
      <c r="C34" s="13"/>
    </row>
    <row r="35" spans="1:3" ht="18" x14ac:dyDescent="0.35">
      <c r="A35" s="14"/>
      <c r="B35" s="13"/>
      <c r="C35" s="13"/>
    </row>
    <row r="36" spans="1:3" ht="18" x14ac:dyDescent="0.35">
      <c r="A36" s="14"/>
      <c r="B36" s="13"/>
      <c r="C36" s="13"/>
    </row>
    <row r="37" spans="1:3" ht="18" x14ac:dyDescent="0.35">
      <c r="A37" s="14"/>
      <c r="B37" s="13"/>
      <c r="C37" s="13"/>
    </row>
    <row r="38" spans="1:3" ht="18" x14ac:dyDescent="0.35">
      <c r="A38" s="14"/>
    </row>
    <row r="39" spans="1:3" ht="18" x14ac:dyDescent="0.35">
      <c r="A39" s="14"/>
    </row>
    <row r="40" spans="1:3" ht="18" x14ac:dyDescent="0.35">
      <c r="A40" s="14"/>
    </row>
    <row r="41" spans="1:3" ht="18" x14ac:dyDescent="0.35">
      <c r="A41" s="14"/>
    </row>
    <row r="42" spans="1:3" ht="18" x14ac:dyDescent="0.35">
      <c r="A42" s="14"/>
    </row>
    <row r="43" spans="1:3" ht="18" x14ac:dyDescent="0.35">
      <c r="A43" s="14"/>
    </row>
  </sheetData>
  <sheetProtection algorithmName="SHA-512" hashValue="fucD5ciwNhWsxQ9GX9BySaALS/cuk02Vc7IyXlaFsx4ndoRg8UX/Hu6Td2BZLUtC9PwFS6uZN4wrgadUJPYFDw==" saltValue="nUq0zKRtL01If54m2NjksQ==" spinCount="100000" sheet="1" objects="1" scenarios="1"/>
  <dataConsolidate/>
  <mergeCells count="1">
    <mergeCell ref="B1:C1"/>
  </mergeCells>
  <phoneticPr fontId="31" type="noConversion"/>
  <hyperlinks>
    <hyperlink ref="C14" r:id="rId1" xr:uid="{D86932BE-F9CE-4309-BF33-B2AD1F2E82AE}"/>
    <hyperlink ref="C17" r:id="rId2" xr:uid="{3B5ADC4B-14DA-487F-8B4B-0DA17FA7350D}"/>
    <hyperlink ref="C5" r:id="rId3" xr:uid="{FF5BE0C6-495C-43A9-B23B-8CD3A016EC69}"/>
    <hyperlink ref="C6" r:id="rId4" xr:uid="{329FE86E-0A5A-46AF-9951-93A05AAC1CBE}"/>
  </hyperlinks>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F2C08-3CCC-4DB7-B304-A01674B00008}">
  <sheetPr codeName="Sheet6">
    <tabColor theme="4"/>
  </sheetPr>
  <dimension ref="A1:AU268"/>
  <sheetViews>
    <sheetView showGridLines="0" zoomScale="10" zoomScaleNormal="10" workbookViewId="0">
      <selection activeCell="AI90" sqref="AI90"/>
    </sheetView>
  </sheetViews>
  <sheetFormatPr defaultRowHeight="15.5" x14ac:dyDescent="0.35"/>
  <cols>
    <col min="1" max="1" width="9.1796875" style="109" customWidth="1"/>
    <col min="2" max="2" width="24.6328125" style="132" bestFit="1" customWidth="1"/>
    <col min="3" max="3" width="26.90625" style="132" bestFit="1" customWidth="1"/>
    <col min="4" max="4" width="25.90625" style="132" customWidth="1"/>
    <col min="5" max="5" width="8.7265625" style="132"/>
    <col min="6" max="6" width="18" style="132" hidden="1" customWidth="1"/>
    <col min="7" max="7" width="24.81640625" style="132" hidden="1" customWidth="1"/>
    <col min="8" max="8" width="22.36328125" style="132" hidden="1" customWidth="1"/>
    <col min="9" max="9" width="8.7265625" style="132"/>
    <col min="10" max="10" width="35.08984375" style="132" bestFit="1" customWidth="1"/>
    <col min="11" max="11" width="18.26953125" style="132" bestFit="1" customWidth="1"/>
    <col min="12" max="12" width="19.26953125" style="132" customWidth="1"/>
    <col min="13" max="13" width="17.1796875" style="132" customWidth="1"/>
    <col min="14" max="14" width="11.7265625" style="132" customWidth="1"/>
    <col min="15" max="15" width="8.7265625" style="132"/>
    <col min="16" max="16" width="38.1796875" style="132" customWidth="1"/>
    <col min="17" max="17" width="31.6328125" style="1" customWidth="1"/>
    <col min="18" max="18" width="35.08984375" style="1" bestFit="1" customWidth="1"/>
    <col min="19" max="19" width="21.453125" style="1" bestFit="1" customWidth="1"/>
    <col min="20" max="20" width="36.90625" style="132" hidden="1" customWidth="1"/>
    <col min="21" max="22" width="11.1796875" style="132" customWidth="1"/>
    <col min="23" max="23" width="33" style="132" bestFit="1" customWidth="1"/>
    <col min="24" max="24" width="25.90625" style="132" bestFit="1" customWidth="1"/>
    <col min="25" max="25" width="22.36328125" style="1" bestFit="1" customWidth="1"/>
    <col min="26" max="26" width="36" style="1" customWidth="1"/>
    <col min="27" max="27" width="43.7265625" style="1" customWidth="1"/>
    <col min="28" max="28" width="15.54296875" style="1" customWidth="1"/>
    <col min="29" max="29" width="35" style="132" hidden="1" customWidth="1"/>
    <col min="30" max="30" width="25.36328125" style="132" hidden="1" customWidth="1"/>
    <col min="31" max="31" width="14.90625" style="132" hidden="1" customWidth="1"/>
    <col min="32" max="32" width="14.7265625" style="132" hidden="1" customWidth="1"/>
    <col min="33" max="34" width="8.7265625" style="132"/>
    <col min="35" max="35" width="33.26953125" style="132" bestFit="1" customWidth="1"/>
    <col min="36" max="36" width="33" style="132" customWidth="1"/>
    <col min="37" max="37" width="32.26953125" style="132" customWidth="1"/>
    <col min="38" max="38" width="22.08984375" style="1" customWidth="1"/>
    <col min="39" max="39" width="37.1796875" style="1" bestFit="1" customWidth="1"/>
    <col min="40" max="40" width="37.1796875" style="1" customWidth="1"/>
    <col min="41" max="41" width="31.26953125" style="132" hidden="1" customWidth="1"/>
    <col min="42" max="42" width="29.1796875" style="132" hidden="1" customWidth="1"/>
    <col min="43" max="43" width="17.1796875" style="132" hidden="1" customWidth="1"/>
    <col min="44" max="44" width="31.26953125" style="132" hidden="1" customWidth="1"/>
    <col min="45" max="45" width="29.1796875" style="132" hidden="1" customWidth="1"/>
    <col min="46" max="46" width="17.1796875" style="132" hidden="1" customWidth="1"/>
    <col min="47" max="47" width="17.6328125" style="132" customWidth="1"/>
    <col min="48" max="16384" width="8.7265625" style="132"/>
  </cols>
  <sheetData>
    <row r="1" spans="1:47" s="109" customFormat="1" ht="105" customHeight="1" x14ac:dyDescent="0.35">
      <c r="B1" s="331" t="s">
        <v>561</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331"/>
      <c r="AJ1" s="331"/>
      <c r="AK1" s="331"/>
      <c r="AL1" s="331"/>
      <c r="AM1" s="331"/>
      <c r="AN1" s="116"/>
    </row>
    <row r="3" spans="1:47" ht="41" customHeight="1" x14ac:dyDescent="0.35">
      <c r="A3" s="181"/>
      <c r="B3" s="344" t="s">
        <v>259</v>
      </c>
      <c r="C3" s="344"/>
      <c r="D3" s="344"/>
      <c r="F3" s="344" t="s">
        <v>384</v>
      </c>
      <c r="G3" s="344"/>
      <c r="H3" s="344"/>
      <c r="J3" s="344" t="s">
        <v>472</v>
      </c>
      <c r="K3" s="344"/>
      <c r="L3" s="344"/>
      <c r="M3" s="344"/>
      <c r="N3" s="150"/>
      <c r="P3" s="344" t="s">
        <v>474</v>
      </c>
      <c r="Q3" s="344"/>
      <c r="R3" s="344"/>
      <c r="S3" s="344"/>
      <c r="V3" s="150"/>
      <c r="W3" s="344" t="s">
        <v>373</v>
      </c>
      <c r="X3" s="344"/>
      <c r="Y3" s="344"/>
      <c r="Z3" s="344"/>
      <c r="AA3" s="344"/>
      <c r="AB3" s="150"/>
      <c r="AI3" s="345" t="s">
        <v>797</v>
      </c>
      <c r="AJ3" s="345"/>
      <c r="AK3" s="345"/>
      <c r="AL3" s="345"/>
      <c r="AM3" s="345"/>
      <c r="AN3" s="161"/>
    </row>
    <row r="4" spans="1:47" ht="16.5" x14ac:dyDescent="0.35">
      <c r="B4" s="5" t="s">
        <v>78</v>
      </c>
      <c r="C4" s="5" t="s">
        <v>162</v>
      </c>
      <c r="D4" s="5" t="s">
        <v>76</v>
      </c>
      <c r="F4" s="132" t="s">
        <v>78</v>
      </c>
      <c r="G4" s="132" t="s">
        <v>162</v>
      </c>
      <c r="H4" s="132" t="s">
        <v>76</v>
      </c>
      <c r="J4" s="5" t="s">
        <v>402</v>
      </c>
      <c r="K4" s="132" t="s">
        <v>403</v>
      </c>
      <c r="L4" s="151" t="s">
        <v>380</v>
      </c>
      <c r="M4" s="151" t="s">
        <v>644</v>
      </c>
      <c r="N4" s="152"/>
      <c r="O4" s="153"/>
      <c r="P4" s="1" t="s">
        <v>458</v>
      </c>
      <c r="Q4" s="1" t="s">
        <v>404</v>
      </c>
      <c r="R4" s="187" t="s">
        <v>405</v>
      </c>
      <c r="S4" s="187" t="s">
        <v>406</v>
      </c>
      <c r="V4" s="150"/>
      <c r="W4" s="1" t="s">
        <v>51</v>
      </c>
      <c r="X4" s="1" t="s">
        <v>48</v>
      </c>
      <c r="Y4" s="1" t="s">
        <v>380</v>
      </c>
      <c r="Z4" s="1" t="s">
        <v>54</v>
      </c>
      <c r="AA4" s="1" t="s">
        <v>36</v>
      </c>
      <c r="AD4" s="344" t="s">
        <v>374</v>
      </c>
      <c r="AE4" s="344"/>
      <c r="AF4" s="344"/>
      <c r="AI4" s="1" t="s">
        <v>385</v>
      </c>
      <c r="AJ4" s="1" t="s">
        <v>42</v>
      </c>
      <c r="AK4" s="1" t="s">
        <v>381</v>
      </c>
      <c r="AL4" s="1" t="s">
        <v>26</v>
      </c>
      <c r="AM4" s="1" t="s">
        <v>54</v>
      </c>
      <c r="AO4" s="344" t="s">
        <v>384</v>
      </c>
      <c r="AP4" s="344"/>
      <c r="AQ4" s="344"/>
      <c r="AR4" s="149"/>
      <c r="AS4" s="149"/>
      <c r="AT4" s="149"/>
      <c r="AU4" s="150"/>
    </row>
    <row r="5" spans="1:47" ht="18" x14ac:dyDescent="0.35">
      <c r="A5" s="14"/>
      <c r="B5" s="4" t="s">
        <v>254</v>
      </c>
      <c r="C5" s="4" t="s">
        <v>255</v>
      </c>
      <c r="D5" s="4" t="s">
        <v>256</v>
      </c>
      <c r="F5" s="132" t="str" cm="1">
        <f t="array" ref="F5:F11">_xlfn.UNIQUE(Geo_table[Continent])</f>
        <v>Select Continent</v>
      </c>
      <c r="G5" s="132" t="str" cm="1">
        <f t="array" ref="G5">_xlfn._xlws.SORT(
  _xlfn.UNIQUE(
    _xlfn._xlws.FILTER(
      Geo_table[Sub-Region],
      Geo_table[Continent]='Project Description'!F8
    )
  )
)</f>
        <v>Select Sub-Region</v>
      </c>
      <c r="H5" s="132" t="str" cm="1">
        <f t="array" ref="H5">_xlfn._xlws.SORT(
_xlfn._xlws.FILTER(
Geo_table[Country],
(Geo_table[Continent]='Project Description'!F8)*
(Geo_table[Sub-Region]='Project Description'!F9)
)
)</f>
        <v>Select Country</v>
      </c>
      <c r="J5" s="10" t="s">
        <v>424</v>
      </c>
      <c r="K5" s="154"/>
      <c r="L5" s="155"/>
      <c r="M5" s="7"/>
      <c r="N5" s="12"/>
      <c r="P5" s="132" t="s">
        <v>475</v>
      </c>
      <c r="T5" s="132" t="str" cm="1">
        <f t="array" ref="T5:T10">_xlfn.UNIQUE(P5:P10)</f>
        <v>Select IPCC GWP AR</v>
      </c>
      <c r="V5" s="6"/>
      <c r="W5" s="156" t="s">
        <v>375</v>
      </c>
      <c r="X5" s="156" t="s">
        <v>376</v>
      </c>
      <c r="Y5" s="156"/>
      <c r="Z5" s="156" t="s">
        <v>645</v>
      </c>
      <c r="AD5" s="156" t="s">
        <v>51</v>
      </c>
      <c r="AE5" s="156" t="s">
        <v>377</v>
      </c>
      <c r="AF5" s="156" t="s">
        <v>378</v>
      </c>
      <c r="AI5" s="132" t="s">
        <v>389</v>
      </c>
      <c r="AJ5" s="132" t="s">
        <v>390</v>
      </c>
      <c r="AK5" s="132" t="s">
        <v>391</v>
      </c>
      <c r="AO5" s="343" t="s">
        <v>387</v>
      </c>
      <c r="AP5" s="343"/>
      <c r="AQ5" s="343"/>
      <c r="AR5" s="343" t="s">
        <v>388</v>
      </c>
      <c r="AS5" s="343"/>
      <c r="AT5" s="343"/>
      <c r="AU5" s="157"/>
    </row>
    <row r="6" spans="1:47" ht="18" x14ac:dyDescent="0.35">
      <c r="A6" s="14"/>
      <c r="B6" s="4" t="s">
        <v>79</v>
      </c>
      <c r="C6" s="4" t="s">
        <v>163</v>
      </c>
      <c r="D6" s="4" t="s">
        <v>85</v>
      </c>
      <c r="F6" s="132" t="str">
        <v>Africa</v>
      </c>
      <c r="J6" s="3" t="s">
        <v>423</v>
      </c>
      <c r="K6" s="4" t="s">
        <v>404</v>
      </c>
      <c r="L6" s="158">
        <v>0.79607216935205727</v>
      </c>
      <c r="M6" s="9" cm="1">
        <f t="array" ref="M6">_xlfn.XLOOKUP('Project Description'!$C$21,IPCC_GWP_table[GWP_values_list],IPCC_GWP_table[CO₂]*FuelEF_table[[#This Row],[Emission Factor]])</f>
        <v>0.79607216935205727</v>
      </c>
      <c r="N6" s="9"/>
      <c r="P6" s="132" t="s">
        <v>459</v>
      </c>
      <c r="Q6" s="1">
        <v>1</v>
      </c>
      <c r="R6" s="1">
        <v>21</v>
      </c>
      <c r="S6" s="1">
        <v>310</v>
      </c>
      <c r="T6" s="132" t="str">
        <v>IPCC Second Assessment Report</v>
      </c>
      <c r="V6" s="6"/>
      <c r="W6" s="4" t="s">
        <v>260</v>
      </c>
      <c r="X6" s="132" t="s">
        <v>261</v>
      </c>
      <c r="Y6" s="177">
        <v>2.863</v>
      </c>
      <c r="Z6" s="156" t="s">
        <v>645</v>
      </c>
      <c r="AA6" s="1" t="s">
        <v>439</v>
      </c>
      <c r="AD6" s="132" t="str" cm="1">
        <f t="array" ref="AD6:AD16">_xlfn.UNIQUE(Material_table[Material Type])</f>
        <v>Select Material Type</v>
      </c>
      <c r="AE6" s="132" t="str" cm="1">
        <f t="array" ref="AE6">_xlfn._xlws.SORT(
  _xlfn.UNIQUE(
    _xlfn._xlws.FILTER(
      Material_table[Material],
      Material_table[Material Type]='Baseline Inventory'!C13
    )
  )
)</f>
        <v>Select Material</v>
      </c>
      <c r="AF6" s="132" t="str" cm="1">
        <f t="array" ref="AF6">_xlfn._xlws.SORT(
  _xlfn.UNIQUE(
    _xlfn._xlws.FILTER(
      Material_table[Material],
      Material_table[Material Type]='Annual (or) Project Inventory'!C13
    )
  )
)</f>
        <v>Select Material</v>
      </c>
      <c r="AI6" s="132" t="s">
        <v>782</v>
      </c>
      <c r="AJ6" s="132" t="s">
        <v>783</v>
      </c>
      <c r="AK6" s="132" t="s">
        <v>38</v>
      </c>
      <c r="AL6" s="1">
        <v>0.52761000000000002</v>
      </c>
      <c r="AM6" s="1" t="s">
        <v>798</v>
      </c>
      <c r="AO6" s="132" t="s">
        <v>385</v>
      </c>
      <c r="AP6" s="132" t="s">
        <v>40</v>
      </c>
      <c r="AQ6" s="132" t="s">
        <v>381</v>
      </c>
      <c r="AR6" s="132" t="s">
        <v>385</v>
      </c>
      <c r="AS6" s="132" t="s">
        <v>40</v>
      </c>
      <c r="AT6" s="132" t="s">
        <v>381</v>
      </c>
    </row>
    <row r="7" spans="1:47" ht="18" x14ac:dyDescent="0.35">
      <c r="A7" s="14"/>
      <c r="B7" s="4" t="s">
        <v>79</v>
      </c>
      <c r="C7" s="4" t="s">
        <v>163</v>
      </c>
      <c r="D7" s="4" t="s">
        <v>100</v>
      </c>
      <c r="F7" s="132" t="str">
        <v>Americas</v>
      </c>
      <c r="J7" s="4" t="s">
        <v>407</v>
      </c>
      <c r="K7" s="4" t="s">
        <v>408</v>
      </c>
      <c r="L7" s="159">
        <v>0.36</v>
      </c>
      <c r="M7" s="9" cm="1">
        <f t="array" ref="M7">_xlfn.XLOOKUP('Project Description'!$C$21,IPCC_GWP_table[GWP_values_list],IPCC_GWP_table[CO₂]*FuelEF_table[[#This Row],[Emission Factor]])</f>
        <v>0.36</v>
      </c>
      <c r="N7" s="9"/>
      <c r="P7" s="132" t="s">
        <v>460</v>
      </c>
      <c r="Q7" s="1">
        <v>1</v>
      </c>
      <c r="R7" s="1">
        <v>23</v>
      </c>
      <c r="S7" s="1">
        <v>296</v>
      </c>
      <c r="T7" s="132" t="str">
        <v>IPCC Third Assessment Report</v>
      </c>
      <c r="V7" s="6"/>
      <c r="W7" s="4" t="s">
        <v>260</v>
      </c>
      <c r="X7" s="132" t="s">
        <v>270</v>
      </c>
      <c r="Y7" s="177"/>
      <c r="Z7" s="156" t="s">
        <v>645</v>
      </c>
      <c r="AD7" s="132" t="str">
        <v>Metals</v>
      </c>
      <c r="AI7" s="132" t="s">
        <v>782</v>
      </c>
      <c r="AJ7" s="132" t="s">
        <v>784</v>
      </c>
      <c r="AK7" s="132" t="s">
        <v>38</v>
      </c>
      <c r="AL7" s="1">
        <v>0.36362</v>
      </c>
      <c r="AM7" s="1" t="s">
        <v>798</v>
      </c>
      <c r="AO7" s="132" t="str" cm="1">
        <f t="array" ref="AO7:AO11">_xlfn.VSTACK(
  "Select Vehicle Category",
  _xlfn._xlws.SORT(
    _xlfn._xlws.FILTER(
      _xlfn.UNIQUE(Transport_table[Vehicle Category]),
      _xlfn.UNIQUE(Transport_table[Vehicle Category])&lt;&gt;"Select Vehicle Category"
    )
  )
)</f>
        <v>Select Vehicle Category</v>
      </c>
      <c r="AP7" s="132" t="str" cm="1">
        <f t="array" ref="AP7">IF(
  'Baseline Inventory'!C51="Select Vehicle Category",
  "Select Vehicle Type",
  _xlfn._xlws.SORT(
    _xlfn.UNIQUE(
      _xlfn._xlws.FILTER(
        Transport_table[Vehicle Type],
        Transport_table[Vehicle Category]='Baseline Inventory'!C51
      )
    )
  )
)</f>
        <v>Select Vehicle Type</v>
      </c>
      <c r="AQ7" s="4" t="str" cm="1">
        <f t="array" ref="AQ7">IF(
  OR(
    'Baseline Inventory'!C51="Select Vehicle Category",
    'Baseline Inventory'!D51="Select Vehicle Type"
  ),
  "Select Fuel Type",
  _xlfn._xlws.SORT(
    _xlfn._xlws.FILTER(
      Transport_table[Fuel Type],
      (Transport_table[Vehicle Type]='Baseline Inventory'!D51) *
      (Transport_table[Vehicle Category]='Baseline Inventory'!C51)
    )
  )
)</f>
        <v>Select Fuel Type</v>
      </c>
      <c r="AR7" s="132" t="str" cm="1">
        <f t="array" ref="AR7:AR11">_xlfn.UNIQUE(Transport_table[Vehicle Category])</f>
        <v>Select Vehicle Category</v>
      </c>
      <c r="AS7" s="132" t="str" cm="1">
        <f t="array" ref="AS7">_xlfn._xlws.SORT(
  _xlfn.UNIQUE(
    _xlfn._xlws.FILTER(
      Transport_table[Vehicle Type],Transport_table[Vehicle Category]='Annual (or) Project Inventory'!C51
    )
  )
)</f>
        <v>Select Vehicle Type</v>
      </c>
      <c r="AT7" s="4" t="str" cm="1">
        <f t="array" ref="AT7">_xlfn._xlws.SORT(_xlfn._xlws.FILTER(Transport_table[Fuel Type],(Transport_table[Vehicle Type]='Annual (or) Project Inventory'!D51)*(Transport_table[Vehicle Category]='Annual (or) Project Inventory'!C51)))</f>
        <v>Select Fuel Type</v>
      </c>
    </row>
    <row r="8" spans="1:47" ht="18" x14ac:dyDescent="0.35">
      <c r="A8" s="14"/>
      <c r="B8" s="4" t="s">
        <v>79</v>
      </c>
      <c r="C8" s="4" t="s">
        <v>163</v>
      </c>
      <c r="D8" s="4" t="s">
        <v>113</v>
      </c>
      <c r="F8" s="132" t="str">
        <v>Asia</v>
      </c>
      <c r="J8" s="4" t="s">
        <v>407</v>
      </c>
      <c r="K8" s="4" t="s">
        <v>405</v>
      </c>
      <c r="L8" s="159">
        <v>1.08E-4</v>
      </c>
      <c r="M8" s="9" cm="1">
        <f t="array" ref="M8">_xlfn.XLOOKUP('Project Description'!$C$21,IPCC_GWP_table[GWP_values_list], IPCC_GWP_table[CH₄]*FuelEF_table[[#This Row],[Emission Factor]])</f>
        <v>2.6999999999999997E-3</v>
      </c>
      <c r="N8" s="9"/>
      <c r="P8" s="132" t="s">
        <v>461</v>
      </c>
      <c r="Q8" s="1">
        <v>1</v>
      </c>
      <c r="R8" s="1">
        <v>25</v>
      </c>
      <c r="S8" s="1">
        <v>298</v>
      </c>
      <c r="T8" s="132" t="str">
        <v>IPCC Fourth Assessment Report</v>
      </c>
      <c r="V8" s="6"/>
      <c r="W8" s="4" t="s">
        <v>260</v>
      </c>
      <c r="X8" s="132" t="s">
        <v>271</v>
      </c>
      <c r="Y8" s="177"/>
      <c r="Z8" s="156" t="s">
        <v>645</v>
      </c>
      <c r="AD8" s="132" t="str">
        <v>Polymers (Plastics &amp; Bio-polymers)</v>
      </c>
      <c r="AI8" s="132" t="s">
        <v>782</v>
      </c>
      <c r="AJ8" s="132" t="s">
        <v>785</v>
      </c>
      <c r="AK8" s="132" t="s">
        <v>38</v>
      </c>
      <c r="AL8" s="1">
        <v>0.17146</v>
      </c>
      <c r="AM8" s="1" t="s">
        <v>798</v>
      </c>
      <c r="AO8" s="132" t="str">
        <v>Heavy Goods Vehicles (HGVs)</v>
      </c>
      <c r="AR8" s="132" t="str">
        <v>Heavy Goods Vehicles (HGVs)</v>
      </c>
    </row>
    <row r="9" spans="1:47" ht="18" x14ac:dyDescent="0.35">
      <c r="A9" s="14"/>
      <c r="B9" s="4" t="s">
        <v>79</v>
      </c>
      <c r="C9" s="4" t="s">
        <v>163</v>
      </c>
      <c r="D9" s="4" t="s">
        <v>119</v>
      </c>
      <c r="F9" s="132" t="str">
        <v>Europe</v>
      </c>
      <c r="J9" s="4" t="s">
        <v>407</v>
      </c>
      <c r="K9" s="4" t="s">
        <v>406</v>
      </c>
      <c r="L9" s="159">
        <v>1.4399999999999999E-5</v>
      </c>
      <c r="M9" s="9" cm="1">
        <f t="array" ref="M9">_xlfn.XLOOKUP('Project Description'!$C$21,IPCC_GWP_table[GWP_values_list],IPCC_GWP_table[N₂O]*FuelEF_table[[#This Row],[Emission Factor]])</f>
        <v>4.2912000000000002E-3</v>
      </c>
      <c r="N9" s="9"/>
      <c r="P9" s="132" t="s">
        <v>462</v>
      </c>
      <c r="Q9" s="1">
        <v>1</v>
      </c>
      <c r="R9" s="1">
        <v>28</v>
      </c>
      <c r="S9" s="1">
        <v>265</v>
      </c>
      <c r="T9" s="132" t="str">
        <v>IPCC Fifth Assessment Report</v>
      </c>
      <c r="W9" s="4" t="s">
        <v>260</v>
      </c>
      <c r="X9" s="132" t="s">
        <v>262</v>
      </c>
      <c r="Y9" s="177">
        <v>9.1150000000000002</v>
      </c>
      <c r="Z9" s="156" t="s">
        <v>645</v>
      </c>
      <c r="AA9" s="1" t="s">
        <v>439</v>
      </c>
      <c r="AD9" s="132" t="str">
        <v>Minerals &amp; Construction Materials</v>
      </c>
      <c r="AI9" s="132" t="s">
        <v>782</v>
      </c>
      <c r="AJ9" s="132" t="s">
        <v>819</v>
      </c>
      <c r="AK9" s="132" t="s">
        <v>38</v>
      </c>
      <c r="AL9" s="1">
        <v>0.19747999999999999</v>
      </c>
      <c r="AM9" s="1" t="s">
        <v>798</v>
      </c>
      <c r="AO9" s="132" t="str">
        <v>HGV refrigerated</v>
      </c>
      <c r="AR9" s="132" t="str">
        <v>HGV refrigerated</v>
      </c>
    </row>
    <row r="10" spans="1:47" ht="18" x14ac:dyDescent="0.35">
      <c r="A10" s="14"/>
      <c r="B10" s="4" t="s">
        <v>79</v>
      </c>
      <c r="C10" s="4" t="s">
        <v>163</v>
      </c>
      <c r="D10" s="4" t="s">
        <v>132</v>
      </c>
      <c r="F10" s="132" t="str">
        <v>Oceania</v>
      </c>
      <c r="J10" s="4" t="s">
        <v>409</v>
      </c>
      <c r="K10" s="4" t="s">
        <v>408</v>
      </c>
      <c r="L10" s="9">
        <v>0.4032</v>
      </c>
      <c r="M10" s="9" cm="1">
        <f t="array" ref="M10">_xlfn.XLOOKUP('Project Description'!$C$21,IPCC_GWP_table[GWP_values_list],IPCC_GWP_table[CO₂]*FuelEF_table[[#This Row],[Emission Factor]])</f>
        <v>0.4032</v>
      </c>
      <c r="N10" s="9"/>
      <c r="P10" s="132" t="s">
        <v>463</v>
      </c>
      <c r="Q10" s="1">
        <v>1</v>
      </c>
      <c r="R10" s="1">
        <v>27.2</v>
      </c>
      <c r="S10" s="1">
        <v>273</v>
      </c>
      <c r="T10" s="132" t="str">
        <v>IPCC Sixth Assessment Report</v>
      </c>
      <c r="W10" s="4" t="s">
        <v>260</v>
      </c>
      <c r="X10" s="132" t="s">
        <v>272</v>
      </c>
      <c r="Y10" s="177"/>
      <c r="Z10" s="156" t="s">
        <v>645</v>
      </c>
      <c r="AD10" s="132" t="str">
        <v>Chemicals &amp; Industrial Inputs</v>
      </c>
      <c r="AI10" s="132" t="s">
        <v>782</v>
      </c>
      <c r="AJ10" s="132" t="s">
        <v>786</v>
      </c>
      <c r="AK10" s="132" t="s">
        <v>38</v>
      </c>
      <c r="AL10" s="1">
        <v>0.12633</v>
      </c>
      <c r="AM10" s="1" t="s">
        <v>798</v>
      </c>
      <c r="AO10" s="132" t="str">
        <v>Passenger Cars</v>
      </c>
      <c r="AR10" s="132" t="str">
        <v>Vans</v>
      </c>
    </row>
    <row r="11" spans="1:47" ht="18" x14ac:dyDescent="0.35">
      <c r="A11" s="14"/>
      <c r="B11" s="4" t="s">
        <v>79</v>
      </c>
      <c r="C11" s="4" t="s">
        <v>163</v>
      </c>
      <c r="D11" s="4" t="s">
        <v>135</v>
      </c>
      <c r="F11" s="132" t="str">
        <v>Antarctica</v>
      </c>
      <c r="J11" s="4" t="s">
        <v>409</v>
      </c>
      <c r="K11" s="4" t="s">
        <v>405</v>
      </c>
      <c r="L11" s="9">
        <v>7.2000000000000005E-4</v>
      </c>
      <c r="M11" s="9" cm="1">
        <f t="array" ref="M11">_xlfn.XLOOKUP('Project Description'!$C$21,IPCC_GWP_table[GWP_values_list], IPCC_GWP_table[CH₄]*FuelEF_table[[#This Row],[Emission Factor]])</f>
        <v>1.8000000000000002E-2</v>
      </c>
      <c r="N11" s="9"/>
      <c r="W11" s="4" t="s">
        <v>260</v>
      </c>
      <c r="X11" s="132" t="s">
        <v>273</v>
      </c>
      <c r="Y11" s="177"/>
      <c r="Z11" s="156" t="s">
        <v>645</v>
      </c>
      <c r="AD11" s="132" t="str">
        <v>Electronics &amp; Energy Components</v>
      </c>
      <c r="AI11" s="132" t="s">
        <v>782</v>
      </c>
      <c r="AJ11" s="132" t="s">
        <v>787</v>
      </c>
      <c r="AK11" s="132" t="s">
        <v>38</v>
      </c>
      <c r="AL11" s="1">
        <v>7.7030000000000001E-2</v>
      </c>
      <c r="AM11" s="1" t="s">
        <v>798</v>
      </c>
      <c r="AO11" s="132" t="str">
        <v>Vans</v>
      </c>
      <c r="AR11" s="132" t="str">
        <v>Passenger Cars</v>
      </c>
    </row>
    <row r="12" spans="1:47" ht="18" x14ac:dyDescent="0.35">
      <c r="A12" s="14"/>
      <c r="B12" s="4" t="s">
        <v>79</v>
      </c>
      <c r="C12" s="4" t="s">
        <v>164</v>
      </c>
      <c r="D12" s="4" t="s">
        <v>87</v>
      </c>
      <c r="J12" s="4" t="s">
        <v>409</v>
      </c>
      <c r="K12" s="4" t="s">
        <v>406</v>
      </c>
      <c r="L12" s="9">
        <v>1.4399999999999999E-5</v>
      </c>
      <c r="M12" s="9" cm="1">
        <f t="array" ref="M12">_xlfn.XLOOKUP('Project Description'!$C$21,IPCC_GWP_table[GWP_values_list],IPCC_GWP_table[N₂O]*FuelEF_table[[#This Row],[Emission Factor]])</f>
        <v>4.2912000000000002E-3</v>
      </c>
      <c r="N12" s="9"/>
      <c r="W12" s="4" t="s">
        <v>260</v>
      </c>
      <c r="X12" s="132" t="s">
        <v>274</v>
      </c>
      <c r="Y12" s="177"/>
      <c r="Z12" s="156" t="s">
        <v>645</v>
      </c>
      <c r="AD12" s="132" t="str">
        <v>Fuels (Fossil &amp; Alternatives)</v>
      </c>
      <c r="AI12" s="132" t="s">
        <v>782</v>
      </c>
      <c r="AJ12" s="132" t="s">
        <v>818</v>
      </c>
      <c r="AK12" s="132" t="s">
        <v>38</v>
      </c>
      <c r="AL12" s="1">
        <v>7.8E-2</v>
      </c>
      <c r="AM12" s="1" t="s">
        <v>798</v>
      </c>
    </row>
    <row r="13" spans="1:47" ht="18" x14ac:dyDescent="0.35">
      <c r="A13" s="14"/>
      <c r="B13" s="4" t="s">
        <v>79</v>
      </c>
      <c r="C13" s="4" t="s">
        <v>164</v>
      </c>
      <c r="D13" s="4" t="s">
        <v>89</v>
      </c>
      <c r="J13" s="4" t="s">
        <v>410</v>
      </c>
      <c r="K13" s="4" t="s">
        <v>404</v>
      </c>
      <c r="L13" s="9">
        <v>0.35389999999999999</v>
      </c>
      <c r="M13" s="9" cm="1">
        <f t="array" ref="M13">_xlfn.XLOOKUP('Project Description'!$C$21,IPCC_GWP_table[GWP_values_list],IPCC_GWP_table[CO₂]*FuelEF_table[[#This Row],[Emission Factor]])</f>
        <v>0.35389999999999999</v>
      </c>
      <c r="N13" s="9"/>
      <c r="W13" s="4" t="s">
        <v>260</v>
      </c>
      <c r="X13" s="132" t="s">
        <v>275</v>
      </c>
      <c r="Y13" s="177"/>
      <c r="Z13" s="156" t="s">
        <v>645</v>
      </c>
      <c r="AD13" s="132" t="str">
        <v>Textiles &amp; Fibres</v>
      </c>
      <c r="AI13" s="132" t="s">
        <v>782</v>
      </c>
      <c r="AJ13" s="132" t="s">
        <v>820</v>
      </c>
      <c r="AK13" s="132" t="s">
        <v>38</v>
      </c>
      <c r="AL13" s="1">
        <v>0.10163</v>
      </c>
      <c r="AM13" s="1" t="s">
        <v>798</v>
      </c>
    </row>
    <row r="14" spans="1:47" ht="18" x14ac:dyDescent="0.35">
      <c r="A14" s="14"/>
      <c r="B14" s="4" t="s">
        <v>79</v>
      </c>
      <c r="C14" s="4" t="s">
        <v>164</v>
      </c>
      <c r="D14" s="4" t="s">
        <v>91</v>
      </c>
      <c r="J14" s="4" t="s">
        <v>410</v>
      </c>
      <c r="K14" s="4" t="s">
        <v>405</v>
      </c>
      <c r="L14" s="9">
        <v>3.5999999999999998E-6</v>
      </c>
      <c r="M14" s="9" cm="1">
        <f t="array" ref="M14">_xlfn.XLOOKUP('Project Description'!$C$21,IPCC_GWP_table[GWP_values_list], IPCC_GWP_table[CH₄]*FuelEF_table[[#This Row],[Emission Factor]])</f>
        <v>8.9999999999999992E-5</v>
      </c>
      <c r="N14" s="9"/>
      <c r="T14" s="160" t="str" cm="1">
        <f t="array" ref="T14:T35">_xlfn.UNIQUE(CO2eq_Fuel_table[Fuel])</f>
        <v>Select Power Source</v>
      </c>
      <c r="W14" s="4" t="s">
        <v>260</v>
      </c>
      <c r="X14" s="132" t="s">
        <v>276</v>
      </c>
      <c r="Y14" s="177"/>
      <c r="Z14" s="156" t="s">
        <v>486</v>
      </c>
      <c r="AD14" s="132" t="str">
        <v>Paper, Packaging &amp; Wood Products</v>
      </c>
      <c r="AI14" s="132" t="s">
        <v>788</v>
      </c>
      <c r="AJ14" s="132" t="s">
        <v>783</v>
      </c>
      <c r="AK14" s="132" t="s">
        <v>38</v>
      </c>
      <c r="AL14" s="1">
        <v>0.62836999999999998</v>
      </c>
      <c r="AM14" s="1" t="s">
        <v>798</v>
      </c>
    </row>
    <row r="15" spans="1:47" ht="18" x14ac:dyDescent="0.35">
      <c r="A15" s="14"/>
      <c r="B15" s="4" t="s">
        <v>79</v>
      </c>
      <c r="C15" s="4" t="s">
        <v>164</v>
      </c>
      <c r="D15" s="4" t="s">
        <v>98</v>
      </c>
      <c r="J15" s="4" t="s">
        <v>410</v>
      </c>
      <c r="K15" s="4" t="s">
        <v>406</v>
      </c>
      <c r="L15" s="9">
        <v>5.4E-6</v>
      </c>
      <c r="M15" s="9" cm="1">
        <f t="array" ref="M15">_xlfn.XLOOKUP('Project Description'!$C$21,IPCC_GWP_table[GWP_values_list],IPCC_GWP_table[N₂O]*FuelEF_table[[#This Row],[Emission Factor]])</f>
        <v>1.6092000000000001E-3</v>
      </c>
      <c r="N15" s="9"/>
      <c r="P15" s="344" t="s">
        <v>646</v>
      </c>
      <c r="Q15" s="344"/>
      <c r="R15" s="344"/>
      <c r="T15" s="132" t="str">
        <v>Grid Electricity (average)</v>
      </c>
      <c r="W15" s="4" t="s">
        <v>260</v>
      </c>
      <c r="X15" s="132" t="s">
        <v>277</v>
      </c>
      <c r="Y15" s="177"/>
      <c r="Z15" s="156" t="s">
        <v>486</v>
      </c>
      <c r="AD15" s="132" t="str">
        <v>Agrifood - Biomass &amp; Residues</v>
      </c>
      <c r="AI15" s="132" t="s">
        <v>788</v>
      </c>
      <c r="AJ15" s="132" t="s">
        <v>784</v>
      </c>
      <c r="AK15" s="132" t="s">
        <v>38</v>
      </c>
      <c r="AL15" s="1">
        <v>0.43306</v>
      </c>
      <c r="AM15" s="1" t="s">
        <v>798</v>
      </c>
    </row>
    <row r="16" spans="1:47" ht="18" x14ac:dyDescent="0.35">
      <c r="A16" s="14"/>
      <c r="B16" s="4" t="s">
        <v>79</v>
      </c>
      <c r="C16" s="4" t="s">
        <v>164</v>
      </c>
      <c r="D16" s="4" t="s">
        <v>106</v>
      </c>
      <c r="J16" s="4" t="s">
        <v>411</v>
      </c>
      <c r="K16" s="4" t="s">
        <v>404</v>
      </c>
      <c r="L16" s="9">
        <v>0.34060000000000001</v>
      </c>
      <c r="M16" s="9" cm="1">
        <f t="array" ref="M16">_xlfn.XLOOKUP('Project Description'!$C$21,IPCC_GWP_table[GWP_values_list],IPCC_GWP_table[CO₂]*FuelEF_table[[#This Row],[Emission Factor]])</f>
        <v>0.34060000000000001</v>
      </c>
      <c r="N16" s="9"/>
      <c r="P16" s="8" t="s">
        <v>402</v>
      </c>
      <c r="Q16" s="161" t="s">
        <v>647</v>
      </c>
      <c r="R16" s="162" t="s">
        <v>23</v>
      </c>
      <c r="T16" s="160" t="str">
        <v>Wood / Wood Waste (Biogenic CO2)</v>
      </c>
      <c r="W16" s="4" t="s">
        <v>260</v>
      </c>
      <c r="X16" s="132" t="s">
        <v>278</v>
      </c>
      <c r="Y16" s="177"/>
      <c r="Z16" s="156" t="s">
        <v>486</v>
      </c>
      <c r="AD16" s="132" t="str">
        <v>Water</v>
      </c>
      <c r="AI16" s="132" t="s">
        <v>788</v>
      </c>
      <c r="AJ16" s="132" t="s">
        <v>785</v>
      </c>
      <c r="AK16" s="132" t="s">
        <v>38</v>
      </c>
      <c r="AL16" s="1">
        <v>0.20416000000000001</v>
      </c>
      <c r="AM16" s="1" t="s">
        <v>798</v>
      </c>
    </row>
    <row r="17" spans="1:39" ht="18" x14ac:dyDescent="0.35">
      <c r="A17" s="14"/>
      <c r="B17" s="4" t="s">
        <v>79</v>
      </c>
      <c r="C17" s="4" t="s">
        <v>164</v>
      </c>
      <c r="D17" s="4" t="s">
        <v>107</v>
      </c>
      <c r="J17" s="4" t="s">
        <v>411</v>
      </c>
      <c r="K17" s="4" t="s">
        <v>405</v>
      </c>
      <c r="L17" s="9">
        <v>3.5999999999999998E-6</v>
      </c>
      <c r="M17" s="9" cm="1">
        <f t="array" ref="M17">_xlfn.XLOOKUP('Project Description'!$C$21,IPCC_GWP_table[GWP_values_list], IPCC_GWP_table[CH₄]*FuelEF_table[[#This Row],[Emission Factor]])</f>
        <v>8.9999999999999992E-5</v>
      </c>
      <c r="N17" s="9"/>
      <c r="P17" s="163" t="s">
        <v>480</v>
      </c>
      <c r="Q17" s="164"/>
      <c r="R17" s="164"/>
      <c r="S17" s="153"/>
      <c r="T17" s="160" t="str">
        <v>Wood / Wood Waste</v>
      </c>
      <c r="W17" s="4" t="s">
        <v>260</v>
      </c>
      <c r="X17" s="132" t="s">
        <v>279</v>
      </c>
      <c r="Y17" s="177"/>
      <c r="Z17" s="156" t="s">
        <v>486</v>
      </c>
      <c r="AA17" s="5"/>
      <c r="AB17" s="5"/>
      <c r="AC17" s="5"/>
      <c r="AE17" s="3"/>
      <c r="AF17" s="3"/>
      <c r="AI17" s="132" t="s">
        <v>788</v>
      </c>
      <c r="AJ17" s="132" t="s">
        <v>819</v>
      </c>
      <c r="AK17" s="132" t="s">
        <v>38</v>
      </c>
      <c r="AL17" s="1">
        <v>0.23513999999999999</v>
      </c>
      <c r="AM17" s="1" t="s">
        <v>798</v>
      </c>
    </row>
    <row r="18" spans="1:39" ht="18" x14ac:dyDescent="0.35">
      <c r="A18" s="14"/>
      <c r="B18" s="4" t="s">
        <v>79</v>
      </c>
      <c r="C18" s="4" t="s">
        <v>164</v>
      </c>
      <c r="D18" s="4" t="s">
        <v>108</v>
      </c>
      <c r="J18" s="4" t="s">
        <v>411</v>
      </c>
      <c r="K18" s="4" t="s">
        <v>406</v>
      </c>
      <c r="L18" s="9">
        <v>5.4E-6</v>
      </c>
      <c r="M18" s="9" cm="1">
        <f t="array" ref="M18">_xlfn.XLOOKUP('Project Description'!$C$21,IPCC_GWP_table[GWP_values_list],IPCC_GWP_table[N₂O]*FuelEF_table[[#This Row],[Emission Factor]])</f>
        <v>1.6092000000000001E-3</v>
      </c>
      <c r="N18" s="9"/>
      <c r="P18" s="163" t="s">
        <v>423</v>
      </c>
      <c r="Q18" s="165">
        <f>M6</f>
        <v>0.79607216935205727</v>
      </c>
      <c r="R18" s="164" t="s">
        <v>471</v>
      </c>
      <c r="T18" s="160" t="str">
        <v>Charcoal (Biogenic CO2)</v>
      </c>
      <c r="W18" s="4" t="s">
        <v>260</v>
      </c>
      <c r="X18" s="3" t="s">
        <v>280</v>
      </c>
      <c r="Y18" s="219"/>
      <c r="Z18" s="156" t="s">
        <v>486</v>
      </c>
      <c r="AA18" s="2"/>
      <c r="AB18" s="2"/>
      <c r="AC18" s="4"/>
      <c r="AE18" s="4"/>
      <c r="AF18" s="4"/>
      <c r="AI18" s="132" t="s">
        <v>788</v>
      </c>
      <c r="AJ18" s="132" t="s">
        <v>786</v>
      </c>
      <c r="AK18" s="132" t="s">
        <v>38</v>
      </c>
      <c r="AL18" s="1">
        <v>0.14610999999999999</v>
      </c>
      <c r="AM18" s="1" t="s">
        <v>798</v>
      </c>
    </row>
    <row r="19" spans="1:39" ht="18" x14ac:dyDescent="0.35">
      <c r="A19" s="14"/>
      <c r="B19" s="4" t="s">
        <v>79</v>
      </c>
      <c r="C19" s="4" t="s">
        <v>164</v>
      </c>
      <c r="D19" s="4" t="s">
        <v>109</v>
      </c>
      <c r="J19" s="4" t="s">
        <v>412</v>
      </c>
      <c r="K19" s="4" t="s">
        <v>404</v>
      </c>
      <c r="L19" s="9">
        <v>0.34060000000000001</v>
      </c>
      <c r="M19" s="9" cm="1">
        <f t="array" ref="M19">_xlfn.XLOOKUP('Project Description'!$C$21,IPCC_GWP_table[GWP_values_list],IPCC_GWP_table[CO₂]*FuelEF_table[[#This Row],[Emission Factor]])</f>
        <v>0.34060000000000001</v>
      </c>
      <c r="N19" s="9"/>
      <c r="P19" s="163" t="s">
        <v>467</v>
      </c>
      <c r="Q19" s="165">
        <f>M7</f>
        <v>0.36</v>
      </c>
      <c r="R19" s="164" t="s">
        <v>471</v>
      </c>
      <c r="T19" s="160" t="str">
        <v>Charcoal</v>
      </c>
      <c r="W19" s="4" t="s">
        <v>260</v>
      </c>
      <c r="X19" s="4" t="s">
        <v>281</v>
      </c>
      <c r="Y19" s="219"/>
      <c r="Z19" s="156" t="s">
        <v>486</v>
      </c>
      <c r="AA19" s="2"/>
      <c r="AB19" s="2"/>
      <c r="AC19" s="4"/>
      <c r="AE19" s="4"/>
      <c r="AF19" s="4"/>
      <c r="AI19" s="132" t="s">
        <v>788</v>
      </c>
      <c r="AJ19" s="132" t="s">
        <v>787</v>
      </c>
      <c r="AK19" s="132" t="s">
        <v>38</v>
      </c>
      <c r="AL19" s="1">
        <v>8.9080000000000006E-2</v>
      </c>
      <c r="AM19" s="1" t="s">
        <v>798</v>
      </c>
    </row>
    <row r="20" spans="1:39" ht="18" x14ac:dyDescent="0.35">
      <c r="A20" s="14"/>
      <c r="B20" s="4" t="s">
        <v>79</v>
      </c>
      <c r="C20" s="4" t="s">
        <v>164</v>
      </c>
      <c r="D20" s="4" t="s">
        <v>112</v>
      </c>
      <c r="J20" s="4" t="s">
        <v>412</v>
      </c>
      <c r="K20" s="4" t="s">
        <v>405</v>
      </c>
      <c r="L20" s="9">
        <v>3.5999999999999998E-6</v>
      </c>
      <c r="M20" s="9" cm="1">
        <f t="array" ref="M20">_xlfn.XLOOKUP('Project Description'!$C$21,IPCC_GWP_table[GWP_values_list], IPCC_GWP_table[CH₄]*FuelEF_table[[#This Row],[Emission Factor]])</f>
        <v>8.9999999999999992E-5</v>
      </c>
      <c r="N20" s="9"/>
      <c r="P20" s="163" t="s">
        <v>407</v>
      </c>
      <c r="Q20" s="165">
        <f>SUM(M8:M9)</f>
        <v>6.9911999999999995E-3</v>
      </c>
      <c r="R20" s="164" t="s">
        <v>471</v>
      </c>
      <c r="S20" s="166"/>
      <c r="T20" s="160" t="str">
        <v>Anthracite</v>
      </c>
      <c r="W20" s="4" t="s">
        <v>260</v>
      </c>
      <c r="X20" s="4" t="s">
        <v>282</v>
      </c>
      <c r="Y20" s="219"/>
      <c r="Z20" s="156" t="s">
        <v>486</v>
      </c>
      <c r="AA20" s="2"/>
      <c r="AB20" s="2"/>
      <c r="AC20" s="4"/>
      <c r="AD20" s="4"/>
      <c r="AE20" s="4"/>
      <c r="AF20" s="4"/>
      <c r="AI20" s="132" t="s">
        <v>788</v>
      </c>
      <c r="AJ20" s="132" t="s">
        <v>818</v>
      </c>
      <c r="AK20" s="132" t="s">
        <v>38</v>
      </c>
      <c r="AL20" s="1">
        <v>9.0200000000000002E-2</v>
      </c>
      <c r="AM20" s="1" t="s">
        <v>798</v>
      </c>
    </row>
    <row r="21" spans="1:39" ht="18" x14ac:dyDescent="0.35">
      <c r="A21" s="14"/>
      <c r="B21" s="4" t="s">
        <v>79</v>
      </c>
      <c r="C21" s="4" t="s">
        <v>164</v>
      </c>
      <c r="D21" s="4" t="s">
        <v>116</v>
      </c>
      <c r="J21" s="4" t="s">
        <v>412</v>
      </c>
      <c r="K21" s="4" t="s">
        <v>406</v>
      </c>
      <c r="L21" s="9">
        <v>5.4E-6</v>
      </c>
      <c r="M21" s="9" cm="1">
        <f t="array" ref="M21">_xlfn.XLOOKUP('Project Description'!$C$21,IPCC_GWP_table[GWP_values_list],IPCC_GWP_table[N₂O]*FuelEF_table[[#This Row],[Emission Factor]])</f>
        <v>1.6092000000000001E-3</v>
      </c>
      <c r="N21" s="9"/>
      <c r="P21" s="163" t="s">
        <v>468</v>
      </c>
      <c r="Q21" s="165">
        <f>M10</f>
        <v>0.4032</v>
      </c>
      <c r="R21" s="164" t="s">
        <v>471</v>
      </c>
      <c r="S21" s="166"/>
      <c r="T21" s="160" t="str">
        <v>Coking coal</v>
      </c>
      <c r="W21" s="132" t="s">
        <v>291</v>
      </c>
      <c r="X21" s="4" t="s">
        <v>27</v>
      </c>
      <c r="Y21" s="219">
        <v>3.0950000000000002</v>
      </c>
      <c r="Z21" s="156" t="s">
        <v>486</v>
      </c>
      <c r="AA21" s="1" t="s">
        <v>439</v>
      </c>
      <c r="AC21" s="4"/>
      <c r="AD21" s="4"/>
      <c r="AE21" s="4"/>
      <c r="AF21" s="4"/>
      <c r="AI21" s="132" t="s">
        <v>788</v>
      </c>
      <c r="AJ21" s="132" t="s">
        <v>820</v>
      </c>
      <c r="AK21" s="132" t="s">
        <v>38</v>
      </c>
      <c r="AL21" s="1">
        <v>0.11894</v>
      </c>
      <c r="AM21" s="1" t="s">
        <v>798</v>
      </c>
    </row>
    <row r="22" spans="1:39" ht="18" x14ac:dyDescent="0.35">
      <c r="A22" s="14"/>
      <c r="B22" s="4" t="s">
        <v>79</v>
      </c>
      <c r="C22" s="4" t="s">
        <v>164</v>
      </c>
      <c r="D22" s="4" t="s">
        <v>117</v>
      </c>
      <c r="J22" s="4" t="s">
        <v>413</v>
      </c>
      <c r="K22" s="4" t="s">
        <v>404</v>
      </c>
      <c r="L22" s="9">
        <v>0.34599999999999997</v>
      </c>
      <c r="M22" s="9" cm="1">
        <f t="array" ref="M22">_xlfn.XLOOKUP('Project Description'!$C$21,IPCC_GWP_table[GWP_values_list],IPCC_GWP_table[CO₂]*FuelEF_table[[#This Row],[Emission Factor]])</f>
        <v>0.34599999999999997</v>
      </c>
      <c r="N22" s="9"/>
      <c r="P22" s="163" t="s">
        <v>409</v>
      </c>
      <c r="Q22" s="165">
        <f>SUM(M11:M12)</f>
        <v>2.2291200000000004E-2</v>
      </c>
      <c r="R22" s="164" t="s">
        <v>471</v>
      </c>
      <c r="S22" s="166"/>
      <c r="T22" s="160" t="str">
        <v>Other bituminous coal</v>
      </c>
      <c r="W22" s="132" t="s">
        <v>291</v>
      </c>
      <c r="X22" s="4" t="s">
        <v>28</v>
      </c>
      <c r="Y22" s="219">
        <v>2.9649999999999999</v>
      </c>
      <c r="Z22" s="156" t="s">
        <v>486</v>
      </c>
      <c r="AA22" s="1" t="s">
        <v>439</v>
      </c>
      <c r="AC22" s="4"/>
      <c r="AD22" s="3">
        <v>2</v>
      </c>
      <c r="AE22" s="4"/>
      <c r="AF22" s="4"/>
      <c r="AI22" s="132" t="s">
        <v>775</v>
      </c>
      <c r="AJ22" s="132" t="s">
        <v>776</v>
      </c>
      <c r="AK22" s="132" t="s">
        <v>38</v>
      </c>
      <c r="AL22" s="1">
        <v>0.87422999999999995</v>
      </c>
      <c r="AM22" s="1" t="s">
        <v>798</v>
      </c>
    </row>
    <row r="23" spans="1:39" ht="18" x14ac:dyDescent="0.35">
      <c r="A23" s="14"/>
      <c r="B23" s="4" t="s">
        <v>79</v>
      </c>
      <c r="C23" s="4" t="s">
        <v>164</v>
      </c>
      <c r="D23" s="4" t="s">
        <v>122</v>
      </c>
      <c r="J23" s="4" t="s">
        <v>413</v>
      </c>
      <c r="K23" s="4" t="s">
        <v>405</v>
      </c>
      <c r="L23" s="9">
        <v>3.5999999999999998E-6</v>
      </c>
      <c r="M23" s="9" cm="1">
        <f t="array" ref="M23">_xlfn.XLOOKUP('Project Description'!$C$21,IPCC_GWP_table[GWP_values_list], IPCC_GWP_table[CH₄]*FuelEF_table[[#This Row],[Emission Factor]])</f>
        <v>8.9999999999999992E-5</v>
      </c>
      <c r="N23" s="9"/>
      <c r="P23" s="163" t="s">
        <v>410</v>
      </c>
      <c r="Q23" s="165">
        <f>SUM(M13:M15)</f>
        <v>0.35559919999999995</v>
      </c>
      <c r="R23" s="164" t="s">
        <v>471</v>
      </c>
      <c r="S23" s="166"/>
      <c r="T23" s="160" t="str">
        <v>Sub-bituminous coal</v>
      </c>
      <c r="W23" s="132" t="s">
        <v>291</v>
      </c>
      <c r="X23" s="4" t="s">
        <v>30</v>
      </c>
      <c r="Y23" s="219">
        <v>2.9649999999999999</v>
      </c>
      <c r="Z23" s="156" t="s">
        <v>486</v>
      </c>
      <c r="AA23" s="1" t="s">
        <v>439</v>
      </c>
      <c r="AC23" s="4"/>
      <c r="AD23" s="132" t="str" cm="1">
        <f t="array" ref="AD23:AD33">_xlfn.UNIQUE(Material_table[Material Type])</f>
        <v>Select Material Type</v>
      </c>
      <c r="AE23" s="132" t="str" cm="1">
        <f t="array" ref="AE23">_xlfn._xlws.SORT(
  _xlfn.UNIQUE(
    _xlfn._xlws.FILTER(
      Material_table[Material],
      Material_table[Material Type]='Baseline Inventory'!C14
    )
  )
)</f>
        <v>Select Material</v>
      </c>
      <c r="AF23" s="132" t="str" cm="1">
        <f t="array" ref="AF23">_xlfn._xlws.SORT(
  _xlfn.UNIQUE(
    _xlfn._xlws.FILTER(
      Material_table[Material],
      Material_table[Material Type]='Annual (or) Project Inventory'!C14
    )
  )
)</f>
        <v>Select Material</v>
      </c>
      <c r="AI23" s="132" t="s">
        <v>775</v>
      </c>
      <c r="AJ23" s="132" t="s">
        <v>776</v>
      </c>
      <c r="AK23" s="132" t="s">
        <v>780</v>
      </c>
      <c r="AL23" s="310">
        <v>1.42906</v>
      </c>
      <c r="AM23" s="1" t="s">
        <v>798</v>
      </c>
    </row>
    <row r="24" spans="1:39" ht="18" x14ac:dyDescent="0.35">
      <c r="A24" s="14"/>
      <c r="B24" s="4" t="s">
        <v>79</v>
      </c>
      <c r="C24" s="4" t="s">
        <v>164</v>
      </c>
      <c r="D24" s="4" t="s">
        <v>123</v>
      </c>
      <c r="J24" s="4" t="s">
        <v>413</v>
      </c>
      <c r="K24" s="4" t="s">
        <v>406</v>
      </c>
      <c r="L24" s="9">
        <v>5.4E-6</v>
      </c>
      <c r="M24" s="9" cm="1">
        <f t="array" ref="M24">_xlfn.XLOOKUP('Project Description'!$C$21,IPCC_GWP_table[GWP_values_list],IPCC_GWP_table[N₂O]*FuelEF_table[[#This Row],[Emission Factor]])</f>
        <v>1.6092000000000001E-3</v>
      </c>
      <c r="N24" s="9"/>
      <c r="P24" s="163" t="s">
        <v>411</v>
      </c>
      <c r="Q24" s="165">
        <f>SUM(M16:M18)</f>
        <v>0.34229919999999997</v>
      </c>
      <c r="R24" s="164" t="s">
        <v>471</v>
      </c>
      <c r="S24" s="166"/>
      <c r="T24" s="160" t="str">
        <v>Lignite</v>
      </c>
      <c r="W24" s="132" t="s">
        <v>291</v>
      </c>
      <c r="X24" s="4" t="s">
        <v>29</v>
      </c>
      <c r="Y24" s="219">
        <v>3.8639999999999999</v>
      </c>
      <c r="Z24" s="156" t="s">
        <v>486</v>
      </c>
      <c r="AA24" s="1" t="s">
        <v>439</v>
      </c>
      <c r="AC24" s="4"/>
      <c r="AD24" s="132" t="str">
        <v>Metals</v>
      </c>
      <c r="AI24" s="132" t="s">
        <v>775</v>
      </c>
      <c r="AJ24" s="132" t="s">
        <v>776</v>
      </c>
      <c r="AK24" s="132" t="s">
        <v>781</v>
      </c>
      <c r="AL24" s="1">
        <v>0.12474</v>
      </c>
      <c r="AM24" s="1" t="s">
        <v>798</v>
      </c>
    </row>
    <row r="25" spans="1:39" ht="18" x14ac:dyDescent="0.35">
      <c r="A25" s="14"/>
      <c r="B25" s="4" t="s">
        <v>79</v>
      </c>
      <c r="C25" s="4" t="s">
        <v>164</v>
      </c>
      <c r="D25" s="4" t="s">
        <v>126</v>
      </c>
      <c r="J25" s="4" t="s">
        <v>414</v>
      </c>
      <c r="K25" s="4" t="s">
        <v>404</v>
      </c>
      <c r="L25" s="9">
        <v>0.36359999999999998</v>
      </c>
      <c r="M25" s="9" cm="1">
        <f t="array" ref="M25">_xlfn.XLOOKUP('Project Description'!$C$21,IPCC_GWP_table[GWP_values_list],IPCC_GWP_table[CO₂]*FuelEF_table[[#This Row],[Emission Factor]])</f>
        <v>0.36359999999999998</v>
      </c>
      <c r="N25" s="9"/>
      <c r="P25" s="163" t="s">
        <v>412</v>
      </c>
      <c r="Q25" s="165">
        <f>SUM(M19:M21)</f>
        <v>0.34229919999999997</v>
      </c>
      <c r="R25" s="164" t="s">
        <v>471</v>
      </c>
      <c r="S25" s="166"/>
      <c r="T25" s="160" t="str">
        <v>Coke oven coke</v>
      </c>
      <c r="W25" s="132" t="s">
        <v>291</v>
      </c>
      <c r="X25" s="4" t="s">
        <v>283</v>
      </c>
      <c r="Y25" s="219">
        <v>2.5779999999999998</v>
      </c>
      <c r="Z25" s="156" t="s">
        <v>486</v>
      </c>
      <c r="AA25" s="1" t="s">
        <v>439</v>
      </c>
      <c r="AC25" s="4"/>
      <c r="AD25" s="132" t="str">
        <v>Polymers (Plastics &amp; Bio-polymers)</v>
      </c>
      <c r="AI25" s="132" t="s">
        <v>775</v>
      </c>
      <c r="AJ25" s="132" t="s">
        <v>777</v>
      </c>
      <c r="AK25" s="132" t="s">
        <v>38</v>
      </c>
      <c r="AL25" s="1">
        <v>0.62561999999999995</v>
      </c>
      <c r="AM25" s="1" t="s">
        <v>798</v>
      </c>
    </row>
    <row r="26" spans="1:39" ht="18" x14ac:dyDescent="0.35">
      <c r="A26" s="14"/>
      <c r="B26" s="4" t="s">
        <v>79</v>
      </c>
      <c r="C26" s="4" t="s">
        <v>164</v>
      </c>
      <c r="D26" s="4" t="s">
        <v>128</v>
      </c>
      <c r="J26" s="4" t="s">
        <v>414</v>
      </c>
      <c r="K26" s="4" t="s">
        <v>405</v>
      </c>
      <c r="L26" s="9">
        <v>3.5999999999999998E-6</v>
      </c>
      <c r="M26" s="9" cm="1">
        <f t="array" ref="M26">_xlfn.XLOOKUP('Project Description'!$C$21,IPCC_GWP_table[GWP_values_list], IPCC_GWP_table[CH₄]*FuelEF_table[[#This Row],[Emission Factor]])</f>
        <v>8.9999999999999992E-5</v>
      </c>
      <c r="N26" s="9"/>
      <c r="P26" s="163" t="s">
        <v>413</v>
      </c>
      <c r="Q26" s="165">
        <f>SUM(M22:M24)</f>
        <v>0.34769919999999993</v>
      </c>
      <c r="R26" s="164" t="s">
        <v>471</v>
      </c>
      <c r="S26" s="166"/>
      <c r="T26" s="160" t="str">
        <v>Petroleum coke</v>
      </c>
      <c r="W26" s="132" t="s">
        <v>291</v>
      </c>
      <c r="X26" s="4" t="s">
        <v>31</v>
      </c>
      <c r="Y26" s="219">
        <v>2.9449999999999998</v>
      </c>
      <c r="Z26" s="156" t="s">
        <v>486</v>
      </c>
      <c r="AA26" s="1" t="s">
        <v>439</v>
      </c>
      <c r="AC26" s="4"/>
      <c r="AD26" s="132" t="str">
        <v>Minerals &amp; Construction Materials</v>
      </c>
      <c r="AI26" s="132" t="s">
        <v>775</v>
      </c>
      <c r="AJ26" s="132" t="s">
        <v>777</v>
      </c>
      <c r="AK26" s="132" t="s">
        <v>780</v>
      </c>
      <c r="AL26" s="310">
        <v>0.81533999999999995</v>
      </c>
      <c r="AM26" s="1" t="s">
        <v>798</v>
      </c>
    </row>
    <row r="27" spans="1:39" ht="18" x14ac:dyDescent="0.35">
      <c r="A27" s="14"/>
      <c r="B27" s="4" t="s">
        <v>79</v>
      </c>
      <c r="C27" s="4" t="s">
        <v>164</v>
      </c>
      <c r="D27" s="4" t="s">
        <v>134</v>
      </c>
      <c r="J27" s="4" t="s">
        <v>414</v>
      </c>
      <c r="K27" s="4" t="s">
        <v>406</v>
      </c>
      <c r="L27" s="9">
        <v>5.4E-6</v>
      </c>
      <c r="M27" s="9" cm="1">
        <f t="array" ref="M27">_xlfn.XLOOKUP('Project Description'!$C$21,IPCC_GWP_table[GWP_values_list],IPCC_GWP_table[N₂O]*FuelEF_table[[#This Row],[Emission Factor]])</f>
        <v>1.6092000000000001E-3</v>
      </c>
      <c r="N27" s="9"/>
      <c r="P27" s="163" t="s">
        <v>414</v>
      </c>
      <c r="Q27" s="165">
        <f>SUM(M25:M27)</f>
        <v>0.36529919999999994</v>
      </c>
      <c r="R27" s="164" t="s">
        <v>471</v>
      </c>
      <c r="S27" s="166"/>
      <c r="T27" s="160" t="str">
        <v>Crude oil</v>
      </c>
      <c r="W27" s="132" t="s">
        <v>291</v>
      </c>
      <c r="X27" s="4" t="s">
        <v>284</v>
      </c>
      <c r="Y27" s="219">
        <v>4.3769999999999998</v>
      </c>
      <c r="Z27" s="156" t="s">
        <v>486</v>
      </c>
      <c r="AA27" s="1" t="s">
        <v>439</v>
      </c>
      <c r="AC27" s="4"/>
      <c r="AD27" s="132" t="str">
        <v>Chemicals &amp; Industrial Inputs</v>
      </c>
      <c r="AI27" s="132" t="s">
        <v>775</v>
      </c>
      <c r="AJ27" s="132" t="s">
        <v>777</v>
      </c>
      <c r="AK27" s="132" t="s">
        <v>781</v>
      </c>
      <c r="AL27" s="2">
        <v>0.24915000000000001</v>
      </c>
      <c r="AM27" s="1" t="s">
        <v>798</v>
      </c>
    </row>
    <row r="28" spans="1:39" ht="18" x14ac:dyDescent="0.35">
      <c r="A28" s="14"/>
      <c r="B28" s="4" t="s">
        <v>79</v>
      </c>
      <c r="C28" s="4" t="s">
        <v>165</v>
      </c>
      <c r="D28" s="4" t="s">
        <v>86</v>
      </c>
      <c r="J28" s="4" t="s">
        <v>415</v>
      </c>
      <c r="K28" s="4" t="s">
        <v>404</v>
      </c>
      <c r="L28" s="9">
        <v>0.38519999999999999</v>
      </c>
      <c r="M28" s="9" cm="1">
        <f t="array" ref="M28">_xlfn.XLOOKUP('Project Description'!$C$21,IPCC_GWP_table[GWP_values_list],IPCC_GWP_table[CO₂]*FuelEF_table[[#This Row],[Emission Factor]])</f>
        <v>0.38519999999999999</v>
      </c>
      <c r="N28" s="9"/>
      <c r="P28" s="163" t="s">
        <v>415</v>
      </c>
      <c r="Q28" s="165">
        <f>SUM(M28:M30)</f>
        <v>0.38689919999999994</v>
      </c>
      <c r="R28" s="164" t="s">
        <v>471</v>
      </c>
      <c r="S28" s="166"/>
      <c r="T28" s="160" t="str">
        <v>Gasoline/Petrol</v>
      </c>
      <c r="W28" s="132" t="s">
        <v>291</v>
      </c>
      <c r="X28" s="4" t="s">
        <v>443</v>
      </c>
      <c r="Y28" s="219">
        <v>3.1720000000000002</v>
      </c>
      <c r="Z28" s="156" t="s">
        <v>486</v>
      </c>
      <c r="AA28" s="1" t="s">
        <v>439</v>
      </c>
      <c r="AC28" s="4"/>
      <c r="AD28" s="132" t="str">
        <v>Electronics &amp; Energy Components</v>
      </c>
      <c r="AI28" s="132" t="s">
        <v>775</v>
      </c>
      <c r="AJ28" s="132" t="s">
        <v>778</v>
      </c>
      <c r="AK28" s="132" t="s">
        <v>38</v>
      </c>
      <c r="AL28" s="1">
        <v>0.62848999999999999</v>
      </c>
      <c r="AM28" s="1" t="s">
        <v>798</v>
      </c>
    </row>
    <row r="29" spans="1:39" ht="18" x14ac:dyDescent="0.35">
      <c r="A29" s="14"/>
      <c r="B29" s="4" t="s">
        <v>79</v>
      </c>
      <c r="C29" s="4" t="s">
        <v>165</v>
      </c>
      <c r="D29" s="4" t="s">
        <v>92</v>
      </c>
      <c r="J29" s="4" t="s">
        <v>415</v>
      </c>
      <c r="K29" s="4" t="s">
        <v>405</v>
      </c>
      <c r="L29" s="9">
        <v>3.5999999999999998E-6</v>
      </c>
      <c r="M29" s="9" cm="1">
        <f t="array" ref="M29">_xlfn.XLOOKUP('Project Description'!$C$21,IPCC_GWP_table[GWP_values_list], IPCC_GWP_table[CH₄]*FuelEF_table[[#This Row],[Emission Factor]])</f>
        <v>8.9999999999999992E-5</v>
      </c>
      <c r="N29" s="9"/>
      <c r="P29" s="163" t="s">
        <v>416</v>
      </c>
      <c r="Q29" s="165">
        <f>SUM(M31:M33)</f>
        <v>0.36889919999999998</v>
      </c>
      <c r="R29" s="164" t="s">
        <v>471</v>
      </c>
      <c r="S29" s="166"/>
      <c r="T29" s="160" t="str">
        <v>Kerosene</v>
      </c>
      <c r="W29" s="132" t="s">
        <v>291</v>
      </c>
      <c r="X29" s="4" t="s">
        <v>444</v>
      </c>
      <c r="Y29" s="219">
        <v>2.9159999999999999</v>
      </c>
      <c r="Z29" s="156" t="s">
        <v>486</v>
      </c>
      <c r="AA29" s="1" t="s">
        <v>439</v>
      </c>
      <c r="AC29" s="4"/>
      <c r="AD29" s="132" t="str">
        <v>Fuels (Fossil &amp; Alternatives)</v>
      </c>
      <c r="AI29" s="132" t="s">
        <v>775</v>
      </c>
      <c r="AJ29" s="132" t="s">
        <v>778</v>
      </c>
      <c r="AK29" s="132" t="s">
        <v>780</v>
      </c>
      <c r="AL29" s="310">
        <v>0.83592999999999995</v>
      </c>
      <c r="AM29" s="1" t="s">
        <v>798</v>
      </c>
    </row>
    <row r="30" spans="1:39" ht="18" x14ac:dyDescent="0.35">
      <c r="A30" s="14"/>
      <c r="B30" s="4" t="s">
        <v>79</v>
      </c>
      <c r="C30" s="4" t="s">
        <v>165</v>
      </c>
      <c r="D30" s="4" t="s">
        <v>93</v>
      </c>
      <c r="J30" s="4" t="s">
        <v>415</v>
      </c>
      <c r="K30" s="4" t="s">
        <v>406</v>
      </c>
      <c r="L30" s="9">
        <v>5.4E-6</v>
      </c>
      <c r="M30" s="9" cm="1">
        <f t="array" ref="M30">_xlfn.XLOOKUP('Project Description'!$C$21,IPCC_GWP_table[GWP_values_list],IPCC_GWP_table[N₂O]*FuelEF_table[[#This Row],[Emission Factor]])</f>
        <v>1.6092000000000001E-3</v>
      </c>
      <c r="N30" s="9"/>
      <c r="P30" s="163" t="s">
        <v>417</v>
      </c>
      <c r="Q30" s="165">
        <f>SUM(M34:M36)</f>
        <v>0.26481368</v>
      </c>
      <c r="R30" s="164" t="s">
        <v>471</v>
      </c>
      <c r="S30" s="166"/>
      <c r="T30" s="160" t="str">
        <v>Diesel</v>
      </c>
      <c r="W30" s="132" t="s">
        <v>291</v>
      </c>
      <c r="X30" s="4" t="s">
        <v>445</v>
      </c>
      <c r="Y30" s="219">
        <v>3.3540000000000001</v>
      </c>
      <c r="Z30" s="156" t="s">
        <v>486</v>
      </c>
      <c r="AA30" s="1" t="s">
        <v>439</v>
      </c>
      <c r="AC30" s="4"/>
      <c r="AD30" s="132" t="str">
        <v>Textiles &amp; Fibres</v>
      </c>
      <c r="AI30" s="132" t="s">
        <v>775</v>
      </c>
      <c r="AJ30" s="132" t="s">
        <v>778</v>
      </c>
      <c r="AK30" s="132" t="s">
        <v>781</v>
      </c>
      <c r="AL30" s="1">
        <v>0.20519000000000001</v>
      </c>
      <c r="AM30" s="1" t="s">
        <v>798</v>
      </c>
    </row>
    <row r="31" spans="1:39" ht="18" x14ac:dyDescent="0.35">
      <c r="A31" s="14"/>
      <c r="B31" s="4" t="s">
        <v>79</v>
      </c>
      <c r="C31" s="4" t="s">
        <v>165</v>
      </c>
      <c r="D31" s="4" t="s">
        <v>94</v>
      </c>
      <c r="J31" s="4" t="s">
        <v>416</v>
      </c>
      <c r="K31" s="4" t="s">
        <v>404</v>
      </c>
      <c r="L31" s="9">
        <v>0.36720000000000003</v>
      </c>
      <c r="M31" s="9" cm="1">
        <f t="array" ref="M31">_xlfn.XLOOKUP('Project Description'!$C$21,IPCC_GWP_table[GWP_values_list],IPCC_GWP_table[CO₂]*FuelEF_table[[#This Row],[Emission Factor]])</f>
        <v>0.36720000000000003</v>
      </c>
      <c r="N31" s="9"/>
      <c r="P31" s="163" t="s">
        <v>382</v>
      </c>
      <c r="Q31" s="165">
        <f>SUM(M37:M39)</f>
        <v>0.25041367999999997</v>
      </c>
      <c r="R31" s="164" t="s">
        <v>471</v>
      </c>
      <c r="S31" s="166"/>
      <c r="T31" s="160" t="str">
        <v>Residual fuel oil</v>
      </c>
      <c r="W31" s="132" t="s">
        <v>291</v>
      </c>
      <c r="X31" s="4" t="s">
        <v>285</v>
      </c>
      <c r="Y31" s="219"/>
      <c r="Z31" s="156" t="s">
        <v>486</v>
      </c>
      <c r="AA31" s="2"/>
      <c r="AB31" s="2"/>
      <c r="AC31" s="4"/>
      <c r="AD31" s="132" t="str">
        <v>Paper, Packaging &amp; Wood Products</v>
      </c>
      <c r="AI31" s="132" t="s">
        <v>775</v>
      </c>
      <c r="AJ31" s="132" t="s">
        <v>779</v>
      </c>
      <c r="AK31" s="132" t="s">
        <v>38</v>
      </c>
      <c r="AL31" s="1">
        <v>0.63129999999999997</v>
      </c>
      <c r="AM31" s="1" t="s">
        <v>798</v>
      </c>
    </row>
    <row r="32" spans="1:39" ht="18" x14ac:dyDescent="0.35">
      <c r="A32" s="14"/>
      <c r="B32" s="4" t="s">
        <v>79</v>
      </c>
      <c r="C32" s="4" t="s">
        <v>165</v>
      </c>
      <c r="D32" s="4" t="s">
        <v>96</v>
      </c>
      <c r="J32" s="4" t="s">
        <v>416</v>
      </c>
      <c r="K32" s="4" t="s">
        <v>405</v>
      </c>
      <c r="L32" s="9">
        <v>3.5999999999999998E-6</v>
      </c>
      <c r="M32" s="9" cm="1">
        <f t="array" ref="M32">_xlfn.XLOOKUP('Project Description'!$C$21,IPCC_GWP_table[GWP_values_list], IPCC_GWP_table[CH₄]*FuelEF_table[[#This Row],[Emission Factor]])</f>
        <v>8.9999999999999992E-5</v>
      </c>
      <c r="N32" s="9"/>
      <c r="P32" s="163" t="s">
        <v>37</v>
      </c>
      <c r="Q32" s="165">
        <f>SUM(M40:M42)</f>
        <v>0.26034367999999997</v>
      </c>
      <c r="R32" s="164" t="s">
        <v>471</v>
      </c>
      <c r="S32" s="166"/>
      <c r="T32" s="160" t="str">
        <v>LPG</v>
      </c>
      <c r="W32" s="132" t="s">
        <v>291</v>
      </c>
      <c r="X32" s="4" t="s">
        <v>32</v>
      </c>
      <c r="Y32" s="219"/>
      <c r="Z32" s="156" t="s">
        <v>486</v>
      </c>
      <c r="AA32" s="2"/>
      <c r="AB32" s="2"/>
      <c r="AC32" s="4"/>
      <c r="AD32" s="132" t="str">
        <v>Agrifood - Biomass &amp; Residues</v>
      </c>
      <c r="AI32" s="132" t="s">
        <v>775</v>
      </c>
      <c r="AJ32" s="132" t="s">
        <v>779</v>
      </c>
      <c r="AK32" s="132" t="s">
        <v>780</v>
      </c>
      <c r="AL32" s="310">
        <v>0.85536999999999996</v>
      </c>
      <c r="AM32" s="1" t="s">
        <v>798</v>
      </c>
    </row>
    <row r="33" spans="1:46" ht="20.5" x14ac:dyDescent="0.35">
      <c r="A33" s="181"/>
      <c r="B33" s="4" t="s">
        <v>79</v>
      </c>
      <c r="C33" s="4" t="s">
        <v>165</v>
      </c>
      <c r="D33" s="4" t="s">
        <v>97</v>
      </c>
      <c r="J33" s="4" t="s">
        <v>416</v>
      </c>
      <c r="K33" s="4" t="s">
        <v>406</v>
      </c>
      <c r="L33" s="9">
        <v>5.4E-6</v>
      </c>
      <c r="M33" s="9" cm="1">
        <f t="array" ref="M33">_xlfn.XLOOKUP('Project Description'!$C$21,IPCC_GWP_table[GWP_values_list],IPCC_GWP_table[N₂O]*FuelEF_table[[#This Row],[Emission Factor]])</f>
        <v>1.6092000000000001E-3</v>
      </c>
      <c r="N33" s="9"/>
      <c r="P33" s="163" t="s">
        <v>38</v>
      </c>
      <c r="Q33" s="165">
        <f>SUM(M43:M45)</f>
        <v>0.27133491999999998</v>
      </c>
      <c r="R33" s="164" t="s">
        <v>471</v>
      </c>
      <c r="S33" s="166"/>
      <c r="T33" s="160" t="str">
        <v>Natural gas</v>
      </c>
      <c r="W33" s="132" t="s">
        <v>291</v>
      </c>
      <c r="X33" s="4" t="s">
        <v>286</v>
      </c>
      <c r="Y33" s="219"/>
      <c r="Z33" s="156" t="s">
        <v>486</v>
      </c>
      <c r="AA33" s="2"/>
      <c r="AB33" s="2"/>
      <c r="AC33" s="4"/>
      <c r="AD33" s="132" t="str">
        <v>Water</v>
      </c>
      <c r="AI33" s="132" t="s">
        <v>775</v>
      </c>
      <c r="AJ33" s="132" t="s">
        <v>779</v>
      </c>
      <c r="AK33" s="132" t="s">
        <v>781</v>
      </c>
      <c r="AL33" s="1">
        <v>0.21992</v>
      </c>
      <c r="AM33" s="1" t="s">
        <v>798</v>
      </c>
    </row>
    <row r="34" spans="1:46" ht="18" x14ac:dyDescent="0.35">
      <c r="A34" s="14"/>
      <c r="B34" s="4" t="s">
        <v>79</v>
      </c>
      <c r="C34" s="4" t="s">
        <v>165</v>
      </c>
      <c r="D34" s="4" t="s">
        <v>101</v>
      </c>
      <c r="J34" s="4" t="s">
        <v>417</v>
      </c>
      <c r="K34" s="4" t="s">
        <v>404</v>
      </c>
      <c r="L34" s="9">
        <v>0.26390000000000002</v>
      </c>
      <c r="M34" s="9" cm="1">
        <f t="array" ref="M34">_xlfn.XLOOKUP('Project Description'!$C$21,IPCC_GWP_table[GWP_values_list],IPCC_GWP_table[CO₂]*FuelEF_table[[#This Row],[Emission Factor]])</f>
        <v>0.26390000000000002</v>
      </c>
      <c r="N34" s="9"/>
      <c r="P34" s="163" t="s">
        <v>419</v>
      </c>
      <c r="Q34" s="165">
        <f>SUM(M46:M48)</f>
        <v>0.27951367999999999</v>
      </c>
      <c r="R34" s="164" t="s">
        <v>471</v>
      </c>
      <c r="S34" s="166"/>
      <c r="T34" s="160" t="str">
        <v>Coke oven gas</v>
      </c>
      <c r="W34" s="132" t="s">
        <v>291</v>
      </c>
      <c r="X34" s="4" t="s">
        <v>287</v>
      </c>
      <c r="Y34" s="219"/>
      <c r="Z34" s="156" t="s">
        <v>486</v>
      </c>
      <c r="AE34" s="3"/>
      <c r="AF34" s="3"/>
      <c r="AI34" s="132" t="s">
        <v>386</v>
      </c>
      <c r="AJ34" s="132" t="s">
        <v>789</v>
      </c>
      <c r="AK34" s="4" t="s">
        <v>38</v>
      </c>
      <c r="AL34" s="310">
        <v>0.1434</v>
      </c>
      <c r="AM34" s="1" t="s">
        <v>799</v>
      </c>
    </row>
    <row r="35" spans="1:46" ht="18" x14ac:dyDescent="0.35">
      <c r="A35" s="14"/>
      <c r="B35" s="4" t="s">
        <v>79</v>
      </c>
      <c r="C35" s="4" t="s">
        <v>165</v>
      </c>
      <c r="D35" s="4" t="s">
        <v>105</v>
      </c>
      <c r="J35" s="4" t="s">
        <v>417</v>
      </c>
      <c r="K35" s="4" t="s">
        <v>405</v>
      </c>
      <c r="L35" s="9">
        <v>1.08E-5</v>
      </c>
      <c r="M35" s="9" cm="1">
        <f t="array" ref="M35">_xlfn.XLOOKUP('Project Description'!$C$21,IPCC_GWP_table[GWP_values_list], IPCC_GWP_table[CH₄]*FuelEF_table[[#This Row],[Emission Factor]])</f>
        <v>2.7E-4</v>
      </c>
      <c r="N35" s="9"/>
      <c r="P35" s="163" t="s">
        <v>269</v>
      </c>
      <c r="Q35" s="165">
        <f>SUM(M49:M51)</f>
        <v>0.22739728000000001</v>
      </c>
      <c r="R35" s="164" t="s">
        <v>471</v>
      </c>
      <c r="S35" s="166"/>
      <c r="T35" s="160" t="str">
        <v>Blast furnace gas</v>
      </c>
      <c r="V35" s="4"/>
      <c r="W35" s="132" t="s">
        <v>291</v>
      </c>
      <c r="X35" s="132" t="s">
        <v>288</v>
      </c>
      <c r="Y35" s="177"/>
      <c r="Z35" s="156" t="s">
        <v>486</v>
      </c>
      <c r="AE35" s="4"/>
      <c r="AF35" s="4"/>
      <c r="AI35" s="132" t="s">
        <v>386</v>
      </c>
      <c r="AJ35" s="132" t="s">
        <v>789</v>
      </c>
      <c r="AK35" s="132" t="s">
        <v>382</v>
      </c>
      <c r="AL35" s="1">
        <v>0.14308000000000001</v>
      </c>
      <c r="AM35" s="1" t="s">
        <v>799</v>
      </c>
      <c r="AO35" s="132" t="str" cm="1">
        <f t="array" ref="AO35:AO39">_xlfn.VSTACK(
  "Select Vehicle Category",
  _xlfn._xlws.SORT(
    _xlfn._xlws.FILTER(
      _xlfn.UNIQUE(Transport_table[Vehicle Category]),
      _xlfn.UNIQUE(Transport_table[Vehicle Category])&lt;&gt;"Select Vehicle Category"
    )
  )
)</f>
        <v>Select Vehicle Category</v>
      </c>
      <c r="AP35" s="132" t="str" cm="1">
        <f t="array" ref="AP35">IF(
  'Baseline Inventory'!C52="Select Vehicle Category",
  "Select Vehicle Type",
  _xlfn._xlws.SORT(
    _xlfn.UNIQUE(
      _xlfn._xlws.FILTER(
        Transport_table[Vehicle Type],
        Transport_table[Vehicle Category]='Baseline Inventory'!C52
      )
    )
  )
)</f>
        <v>Select Vehicle Type</v>
      </c>
      <c r="AQ35" s="4" t="str" cm="1">
        <f t="array" ref="AQ35">IF(
  OR(
    'Baseline Inventory'!C52="Select Vehicle Category",
    'Baseline Inventory'!D52="Select Vehicle Type"
  ),
  "Select Fuel Type",
  _xlfn._xlws.SORT(
    _xlfn._xlws.FILTER(
      Transport_table[Fuel Type],
      (Transport_table[Vehicle Type]='Baseline Inventory'!D52) *
      (Transport_table[Vehicle Category]='Baseline Inventory'!C52)
    )
  )
)</f>
        <v>Select Fuel Type</v>
      </c>
      <c r="AR35" s="132" t="str" cm="1">
        <f t="array" ref="AR35:AR39">_xlfn.UNIQUE(Transport_table[Vehicle Category])</f>
        <v>Select Vehicle Category</v>
      </c>
      <c r="AS35" s="132" t="str" cm="1">
        <f t="array" ref="AS35">_xlfn._xlws.SORT(
  _xlfn.UNIQUE(
    _xlfn._xlws.FILTER(
      Transport_table[Vehicle Type],Transport_table[Vehicle Category]='Annual (or) Project Inventory'!C52
    )
  )
)</f>
        <v>Select Vehicle Type</v>
      </c>
      <c r="AT35" s="4" t="str" cm="1">
        <f t="array" ref="AT35">_xlfn._xlws.SORT(_xlfn._xlws.FILTER(Transport_table[Fuel Type],(Transport_table[Vehicle Type]='Annual (or) Project Inventory'!D52)*(Transport_table[Vehicle Category]='Annual (or) Project Inventory'!C52)))</f>
        <v>Select Fuel Type</v>
      </c>
    </row>
    <row r="36" spans="1:46" ht="18" x14ac:dyDescent="0.35">
      <c r="A36" s="14"/>
      <c r="B36" s="4" t="s">
        <v>79</v>
      </c>
      <c r="C36" s="4" t="s">
        <v>165</v>
      </c>
      <c r="D36" s="4" t="s">
        <v>125</v>
      </c>
      <c r="J36" s="4" t="s">
        <v>417</v>
      </c>
      <c r="K36" s="4" t="s">
        <v>406</v>
      </c>
      <c r="L36" s="9">
        <v>2.1600000000000001E-6</v>
      </c>
      <c r="M36" s="9" cm="1">
        <f t="array" ref="M36">_xlfn.XLOOKUP('Project Description'!$C$21,IPCC_GWP_table[GWP_values_list],IPCC_GWP_table[N₂O]*FuelEF_table[[#This Row],[Emission Factor]])</f>
        <v>6.4367999999999999E-4</v>
      </c>
      <c r="N36" s="9"/>
      <c r="P36" s="163" t="s">
        <v>39</v>
      </c>
      <c r="Q36" s="165">
        <f>SUM(M52:M54)</f>
        <v>0.20291368000000001</v>
      </c>
      <c r="R36" s="164" t="s">
        <v>471</v>
      </c>
      <c r="S36" s="166"/>
      <c r="W36" s="132" t="s">
        <v>291</v>
      </c>
      <c r="X36" s="132" t="s">
        <v>289</v>
      </c>
      <c r="Y36" s="177"/>
      <c r="Z36" s="156" t="s">
        <v>486</v>
      </c>
      <c r="AE36" s="4"/>
      <c r="AF36" s="4"/>
      <c r="AI36" s="132" t="s">
        <v>386</v>
      </c>
      <c r="AJ36" s="132" t="s">
        <v>789</v>
      </c>
      <c r="AK36" s="132" t="s">
        <v>793</v>
      </c>
      <c r="AL36" s="1">
        <v>0.11413</v>
      </c>
      <c r="AM36" s="1" t="s">
        <v>799</v>
      </c>
      <c r="AO36" s="132" t="str">
        <v>Heavy Goods Vehicles (HGVs)</v>
      </c>
      <c r="AR36" s="132" t="str">
        <v>Heavy Goods Vehicles (HGVs)</v>
      </c>
    </row>
    <row r="37" spans="1:46" ht="18" x14ac:dyDescent="0.35">
      <c r="A37" s="14"/>
      <c r="B37" s="4" t="s">
        <v>79</v>
      </c>
      <c r="C37" s="4" t="s">
        <v>166</v>
      </c>
      <c r="D37" s="4" t="s">
        <v>90</v>
      </c>
      <c r="J37" s="4" t="s">
        <v>418</v>
      </c>
      <c r="K37" s="4" t="s">
        <v>404</v>
      </c>
      <c r="L37" s="9">
        <v>0.2495</v>
      </c>
      <c r="M37" s="9" cm="1">
        <f t="array" ref="M37">_xlfn.XLOOKUP('Project Description'!$C$21,IPCC_GWP_table[GWP_values_list],IPCC_GWP_table[CO₂]*FuelEF_table[[#This Row],[Emission Factor]])</f>
        <v>0.2495</v>
      </c>
      <c r="N37" s="9"/>
      <c r="P37" s="163" t="s">
        <v>420</v>
      </c>
      <c r="Q37" s="165">
        <f>SUM(M55:M57)</f>
        <v>0.15999727999999999</v>
      </c>
      <c r="R37" s="164" t="s">
        <v>471</v>
      </c>
      <c r="S37" s="166"/>
      <c r="W37" s="132" t="s">
        <v>291</v>
      </c>
      <c r="X37" s="132" t="s">
        <v>290</v>
      </c>
      <c r="Y37" s="177"/>
      <c r="Z37" s="156" t="s">
        <v>486</v>
      </c>
      <c r="AD37" s="4"/>
      <c r="AE37" s="4"/>
      <c r="AF37" s="4"/>
      <c r="AI37" s="132" t="s">
        <v>386</v>
      </c>
      <c r="AJ37" s="132" t="s">
        <v>789</v>
      </c>
      <c r="AK37" s="132" t="s">
        <v>340</v>
      </c>
      <c r="AL37" s="1" t="s">
        <v>796</v>
      </c>
      <c r="AM37" s="1" t="s">
        <v>799</v>
      </c>
      <c r="AO37" s="132" t="str">
        <v>HGV refrigerated</v>
      </c>
      <c r="AR37" s="132" t="str">
        <v>HGV refrigerated</v>
      </c>
    </row>
    <row r="38" spans="1:46" ht="18" x14ac:dyDescent="0.35">
      <c r="A38" s="14"/>
      <c r="B38" s="4" t="s">
        <v>79</v>
      </c>
      <c r="C38" s="4" t="s">
        <v>166</v>
      </c>
      <c r="D38" s="4" t="s">
        <v>95</v>
      </c>
      <c r="J38" s="4" t="s">
        <v>418</v>
      </c>
      <c r="K38" s="4" t="s">
        <v>405</v>
      </c>
      <c r="L38" s="9">
        <v>1.08E-5</v>
      </c>
      <c r="M38" s="9" cm="1">
        <f t="array" ref="M38">_xlfn.XLOOKUP('Project Description'!$C$21,IPCC_GWP_table[GWP_values_list], IPCC_GWP_table[CH₄]*FuelEF_table[[#This Row],[Emission Factor]])</f>
        <v>2.7E-4</v>
      </c>
      <c r="N38" s="9"/>
      <c r="P38" s="163" t="s">
        <v>421</v>
      </c>
      <c r="Q38" s="165">
        <f>SUM(M58:M61)</f>
        <v>0.93609900000000013</v>
      </c>
      <c r="R38" s="164" t="s">
        <v>471</v>
      </c>
      <c r="S38" s="166"/>
      <c r="W38" s="132" t="s">
        <v>292</v>
      </c>
      <c r="X38" s="132" t="s">
        <v>34</v>
      </c>
      <c r="Y38" s="177">
        <v>7.7999999999999996E-3</v>
      </c>
      <c r="Z38" s="156" t="s">
        <v>486</v>
      </c>
      <c r="AA38" s="1" t="s">
        <v>439</v>
      </c>
      <c r="AD38" s="4"/>
      <c r="AE38" s="4"/>
      <c r="AF38" s="4"/>
      <c r="AI38" s="132" t="s">
        <v>386</v>
      </c>
      <c r="AJ38" s="132" t="s">
        <v>789</v>
      </c>
      <c r="AK38" s="132" t="s">
        <v>269</v>
      </c>
      <c r="AL38" s="1" t="s">
        <v>796</v>
      </c>
      <c r="AM38" s="1" t="s">
        <v>799</v>
      </c>
      <c r="AO38" s="132" t="str">
        <v>Passenger Cars</v>
      </c>
      <c r="AR38" s="132" t="str">
        <v>Vans</v>
      </c>
    </row>
    <row r="39" spans="1:46" ht="18" x14ac:dyDescent="0.35">
      <c r="A39" s="14"/>
      <c r="B39" s="4" t="s">
        <v>79</v>
      </c>
      <c r="C39" s="4" t="s">
        <v>166</v>
      </c>
      <c r="D39" s="4" t="s">
        <v>99</v>
      </c>
      <c r="J39" s="4" t="s">
        <v>418</v>
      </c>
      <c r="K39" s="4" t="s">
        <v>406</v>
      </c>
      <c r="L39" s="9">
        <v>2.1600000000000001E-6</v>
      </c>
      <c r="M39" s="9" cm="1">
        <f t="array" ref="M39">_xlfn.XLOOKUP('Project Description'!$C$21,IPCC_GWP_table[GWP_values_list],IPCC_GWP_table[N₂O]*FuelEF_table[[#This Row],[Emission Factor]])</f>
        <v>6.4367999999999999E-4</v>
      </c>
      <c r="N39" s="9"/>
      <c r="S39" s="166"/>
      <c r="W39" s="132" t="s">
        <v>292</v>
      </c>
      <c r="X39" s="132" t="s">
        <v>431</v>
      </c>
      <c r="Y39" s="177">
        <v>2.2100000000000002E-3</v>
      </c>
      <c r="Z39" s="156" t="s">
        <v>486</v>
      </c>
      <c r="AA39" s="1" t="s">
        <v>439</v>
      </c>
      <c r="AI39" s="132" t="s">
        <v>386</v>
      </c>
      <c r="AJ39" s="132" t="s">
        <v>789</v>
      </c>
      <c r="AK39" s="132" t="s">
        <v>794</v>
      </c>
      <c r="AL39" s="1">
        <v>5.6689999999999997E-2</v>
      </c>
      <c r="AM39" s="1" t="s">
        <v>799</v>
      </c>
      <c r="AO39" s="132" t="str">
        <v>Vans</v>
      </c>
      <c r="AR39" s="132" t="str">
        <v>Passenger Cars</v>
      </c>
    </row>
    <row r="40" spans="1:46" ht="18" x14ac:dyDescent="0.35">
      <c r="A40" s="14"/>
      <c r="B40" s="4" t="s">
        <v>79</v>
      </c>
      <c r="C40" s="4" t="s">
        <v>166</v>
      </c>
      <c r="D40" s="4" t="s">
        <v>102</v>
      </c>
      <c r="J40" s="4" t="s">
        <v>37</v>
      </c>
      <c r="K40" s="4" t="s">
        <v>404</v>
      </c>
      <c r="L40" s="9">
        <v>0.25879999999999997</v>
      </c>
      <c r="M40" s="9" cm="1">
        <f t="array" ref="M40">_xlfn.XLOOKUP('Project Description'!$C$21,IPCC_GWP_table[GWP_values_list],IPCC_GWP_table[CO₂]*FuelEF_table[[#This Row],[Emission Factor]])</f>
        <v>0.25879999999999997</v>
      </c>
      <c r="N40" s="9"/>
      <c r="S40" s="166"/>
      <c r="W40" s="132" t="s">
        <v>292</v>
      </c>
      <c r="X40" s="132" t="s">
        <v>430</v>
      </c>
      <c r="Y40" s="177">
        <v>2.7E-2</v>
      </c>
      <c r="Z40" s="156" t="s">
        <v>486</v>
      </c>
      <c r="AA40" s="1" t="s">
        <v>439</v>
      </c>
      <c r="AD40" s="3">
        <v>3</v>
      </c>
      <c r="AE40" s="4"/>
      <c r="AF40" s="4"/>
      <c r="AI40" s="132" t="s">
        <v>386</v>
      </c>
      <c r="AJ40" s="132" t="s">
        <v>789</v>
      </c>
      <c r="AK40" s="132" t="s">
        <v>795</v>
      </c>
      <c r="AL40" s="1">
        <v>3.6880000000000003E-2</v>
      </c>
      <c r="AM40" s="1" t="s">
        <v>799</v>
      </c>
    </row>
    <row r="41" spans="1:46" ht="18" x14ac:dyDescent="0.35">
      <c r="A41" s="14"/>
      <c r="B41" s="4" t="s">
        <v>79</v>
      </c>
      <c r="C41" s="4" t="s">
        <v>166</v>
      </c>
      <c r="D41" s="4" t="s">
        <v>104</v>
      </c>
      <c r="J41" s="4" t="s">
        <v>37</v>
      </c>
      <c r="K41" s="4" t="s">
        <v>405</v>
      </c>
      <c r="L41" s="9">
        <v>3.6000000000000001E-5</v>
      </c>
      <c r="M41" s="9" cm="1">
        <f t="array" ref="M41">_xlfn.XLOOKUP('Project Description'!$C$21,IPCC_GWP_table[GWP_values_list], IPCC_GWP_table[CH₄]*FuelEF_table[[#This Row],[Emission Factor]])</f>
        <v>8.9999999999999998E-4</v>
      </c>
      <c r="N41" s="9"/>
      <c r="W41" s="132" t="s">
        <v>292</v>
      </c>
      <c r="X41" s="132" t="s">
        <v>432</v>
      </c>
      <c r="Y41" s="177">
        <v>3.9E-2</v>
      </c>
      <c r="Z41" s="156" t="s">
        <v>486</v>
      </c>
      <c r="AA41" s="1" t="s">
        <v>439</v>
      </c>
      <c r="AD41" s="132" t="str" cm="1">
        <f t="array" ref="AD41:AD51">_xlfn.UNIQUE(Material_table[Material Type])</f>
        <v>Select Material Type</v>
      </c>
      <c r="AE41" s="132" t="str" cm="1">
        <f t="array" ref="AE41">_xlfn._xlws.SORT(
  _xlfn.UNIQUE(
    _xlfn._xlws.FILTER(
      Material_table[Material],
      Material_table[Material Type]='Baseline Inventory'!C15
    )
  )
)</f>
        <v>Select Material</v>
      </c>
      <c r="AF41" s="132" t="str" cm="1">
        <f t="array" ref="AF41">_xlfn._xlws.SORT(
  _xlfn.UNIQUE(
    _xlfn._xlws.FILTER(
      Material_table[Material],
      Material_table[Material Type]='Annual (or) Project Inventory'!C15
    )
  )
)</f>
        <v>Select Material</v>
      </c>
      <c r="AI41" s="132" t="s">
        <v>386</v>
      </c>
      <c r="AJ41" s="132" t="s">
        <v>790</v>
      </c>
      <c r="AK41" s="4" t="s">
        <v>38</v>
      </c>
      <c r="AL41" s="310">
        <v>0.17174</v>
      </c>
      <c r="AM41" s="1" t="s">
        <v>799</v>
      </c>
    </row>
    <row r="42" spans="1:46" ht="18" x14ac:dyDescent="0.35">
      <c r="A42" s="14"/>
      <c r="B42" s="4" t="s">
        <v>79</v>
      </c>
      <c r="C42" s="4" t="s">
        <v>166</v>
      </c>
      <c r="D42" s="4" t="s">
        <v>110</v>
      </c>
      <c r="J42" s="4" t="s">
        <v>37</v>
      </c>
      <c r="K42" s="4" t="s">
        <v>406</v>
      </c>
      <c r="L42" s="9">
        <v>2.1600000000000001E-6</v>
      </c>
      <c r="M42" s="9" cm="1">
        <f t="array" ref="M42">_xlfn.XLOOKUP('Project Description'!$C$21,IPCC_GWP_table[GWP_values_list],IPCC_GWP_table[N₂O]*FuelEF_table[[#This Row],[Emission Factor]])</f>
        <v>6.4367999999999999E-4</v>
      </c>
      <c r="N42" s="9"/>
      <c r="W42" s="132" t="s">
        <v>292</v>
      </c>
      <c r="X42" s="132" t="s">
        <v>433</v>
      </c>
      <c r="Y42" s="177">
        <v>1.73E-3</v>
      </c>
      <c r="Z42" s="156" t="s">
        <v>486</v>
      </c>
      <c r="AA42" s="1" t="s">
        <v>439</v>
      </c>
      <c r="AD42" s="132" t="str">
        <v>Metals</v>
      </c>
      <c r="AI42" s="132" t="s">
        <v>386</v>
      </c>
      <c r="AJ42" s="132" t="s">
        <v>790</v>
      </c>
      <c r="AK42" s="132" t="s">
        <v>382</v>
      </c>
      <c r="AL42" s="1">
        <v>0.17474000000000001</v>
      </c>
      <c r="AM42" s="1" t="s">
        <v>799</v>
      </c>
    </row>
    <row r="43" spans="1:46" ht="18" x14ac:dyDescent="0.35">
      <c r="A43" s="14"/>
      <c r="B43" s="4" t="s">
        <v>79</v>
      </c>
      <c r="C43" s="4" t="s">
        <v>166</v>
      </c>
      <c r="D43" s="4" t="s">
        <v>114</v>
      </c>
      <c r="J43" s="4" t="s">
        <v>38</v>
      </c>
      <c r="K43" s="4" t="s">
        <v>404</v>
      </c>
      <c r="L43" s="9">
        <v>0.26679999999999998</v>
      </c>
      <c r="M43" s="9" cm="1">
        <f t="array" ref="M43">_xlfn.XLOOKUP('Project Description'!$C$21,IPCC_GWP_table[GWP_values_list],IPCC_GWP_table[CO₂]*FuelEF_table[[#This Row],[Emission Factor]])</f>
        <v>0.26679999999999998</v>
      </c>
      <c r="N43" s="9"/>
      <c r="W43" s="132" t="s">
        <v>292</v>
      </c>
      <c r="X43" s="132" t="s">
        <v>429</v>
      </c>
      <c r="Y43" s="177">
        <v>0.24099999999999999</v>
      </c>
      <c r="Z43" s="156" t="s">
        <v>486</v>
      </c>
      <c r="AA43" s="1" t="s">
        <v>439</v>
      </c>
      <c r="AD43" s="132" t="str">
        <v>Polymers (Plastics &amp; Bio-polymers)</v>
      </c>
      <c r="AI43" s="132" t="s">
        <v>386</v>
      </c>
      <c r="AJ43" s="132" t="s">
        <v>790</v>
      </c>
      <c r="AK43" s="132" t="s">
        <v>793</v>
      </c>
      <c r="AL43" s="1">
        <v>0.11724</v>
      </c>
      <c r="AM43" s="1" t="s">
        <v>799</v>
      </c>
    </row>
    <row r="44" spans="1:46" ht="18" x14ac:dyDescent="0.35">
      <c r="A44" s="14"/>
      <c r="B44" s="4" t="s">
        <v>79</v>
      </c>
      <c r="C44" s="4" t="s">
        <v>166</v>
      </c>
      <c r="D44" s="4" t="s">
        <v>115</v>
      </c>
      <c r="J44" s="4" t="s">
        <v>38</v>
      </c>
      <c r="K44" s="4" t="s">
        <v>405</v>
      </c>
      <c r="L44" s="9">
        <v>1.4039999999999999E-5</v>
      </c>
      <c r="M44" s="9" cm="1">
        <f t="array" ref="M44">_xlfn.XLOOKUP('Project Description'!$C$21,IPCC_GWP_table[GWP_values_list], IPCC_GWP_table[CH₄]*FuelEF_table[[#This Row],[Emission Factor]])</f>
        <v>3.5099999999999997E-4</v>
      </c>
      <c r="N44" s="9"/>
      <c r="P44" s="344" t="s">
        <v>450</v>
      </c>
      <c r="Q44" s="344"/>
      <c r="R44" s="344"/>
      <c r="S44" s="344"/>
      <c r="W44" s="132" t="s">
        <v>292</v>
      </c>
      <c r="X44" s="132" t="s">
        <v>33</v>
      </c>
      <c r="Y44" s="177">
        <v>0.11899999999999999</v>
      </c>
      <c r="Z44" s="156" t="s">
        <v>486</v>
      </c>
      <c r="AA44" s="1" t="s">
        <v>439</v>
      </c>
      <c r="AD44" s="132" t="str">
        <v>Minerals &amp; Construction Materials</v>
      </c>
      <c r="AI44" s="132" t="s">
        <v>386</v>
      </c>
      <c r="AJ44" s="132" t="s">
        <v>790</v>
      </c>
      <c r="AK44" s="132" t="s">
        <v>340</v>
      </c>
      <c r="AL44" s="1">
        <v>0.15504000000000001</v>
      </c>
      <c r="AM44" s="1" t="s">
        <v>799</v>
      </c>
    </row>
    <row r="45" spans="1:46" x14ac:dyDescent="0.35">
      <c r="B45" s="4" t="s">
        <v>79</v>
      </c>
      <c r="C45" s="4" t="s">
        <v>166</v>
      </c>
      <c r="D45" s="4" t="s">
        <v>118</v>
      </c>
      <c r="J45" s="4" t="s">
        <v>38</v>
      </c>
      <c r="K45" s="4" t="s">
        <v>406</v>
      </c>
      <c r="L45" s="9">
        <v>1.4039999999999999E-5</v>
      </c>
      <c r="M45" s="9" cm="1">
        <f t="array" ref="M45">_xlfn.XLOOKUP('Project Description'!$C$21,IPCC_GWP_table[GWP_values_list],IPCC_GWP_table[N₂O]*FuelEF_table[[#This Row],[Emission Factor]])</f>
        <v>4.1839199999999998E-3</v>
      </c>
      <c r="N45" s="9"/>
      <c r="P45" s="150" t="s">
        <v>446</v>
      </c>
      <c r="Q45" s="150" t="s">
        <v>648</v>
      </c>
      <c r="R45" s="150" t="s">
        <v>23</v>
      </c>
      <c r="S45" s="150" t="s">
        <v>258</v>
      </c>
      <c r="W45" s="132" t="s">
        <v>292</v>
      </c>
      <c r="X45" s="132" t="s">
        <v>434</v>
      </c>
      <c r="Y45" s="177">
        <v>1.8620000000000001</v>
      </c>
      <c r="Z45" s="156" t="s">
        <v>486</v>
      </c>
      <c r="AA45" s="1" t="s">
        <v>439</v>
      </c>
      <c r="AD45" s="132" t="str">
        <v>Chemicals &amp; Industrial Inputs</v>
      </c>
      <c r="AI45" s="132" t="s">
        <v>386</v>
      </c>
      <c r="AJ45" s="132" t="s">
        <v>790</v>
      </c>
      <c r="AK45" s="132" t="s">
        <v>269</v>
      </c>
      <c r="AL45" s="1">
        <v>0.17427000000000001</v>
      </c>
      <c r="AM45" s="1" t="s">
        <v>799</v>
      </c>
    </row>
    <row r="46" spans="1:46" x14ac:dyDescent="0.35">
      <c r="B46" s="4" t="s">
        <v>79</v>
      </c>
      <c r="C46" s="4" t="s">
        <v>166</v>
      </c>
      <c r="D46" s="4" t="s">
        <v>120</v>
      </c>
      <c r="J46" s="4" t="s">
        <v>419</v>
      </c>
      <c r="K46" s="4" t="s">
        <v>404</v>
      </c>
      <c r="L46" s="9">
        <v>0.27860000000000001</v>
      </c>
      <c r="M46" s="9" cm="1">
        <f t="array" ref="M46">_xlfn.XLOOKUP('Project Description'!$C$21,IPCC_GWP_table[GWP_values_list],IPCC_GWP_table[CO₂]*FuelEF_table[[#This Row],[Emission Factor]])</f>
        <v>0.27860000000000001</v>
      </c>
      <c r="N46" s="9"/>
      <c r="P46" s="132" t="s">
        <v>511</v>
      </c>
      <c r="T46" s="132" t="str" cm="1">
        <f t="array" ref="T46:T50">_xlfn.UNIQUE(Table5[Treatment Process])</f>
        <v>Select Treatment Process</v>
      </c>
      <c r="W46" s="132" t="s">
        <v>292</v>
      </c>
      <c r="X46" s="132" t="s">
        <v>260</v>
      </c>
      <c r="Y46" s="177">
        <v>3.8239999999999998</v>
      </c>
      <c r="Z46" s="156" t="s">
        <v>486</v>
      </c>
      <c r="AA46" s="1" t="s">
        <v>439</v>
      </c>
      <c r="AD46" s="132" t="str">
        <v>Electronics &amp; Energy Components</v>
      </c>
      <c r="AI46" s="132" t="s">
        <v>386</v>
      </c>
      <c r="AJ46" s="132" t="s">
        <v>790</v>
      </c>
      <c r="AK46" s="132" t="s">
        <v>794</v>
      </c>
      <c r="AL46" s="1">
        <v>8.8200000000000001E-2</v>
      </c>
      <c r="AM46" s="1" t="s">
        <v>799</v>
      </c>
    </row>
    <row r="47" spans="1:46" x14ac:dyDescent="0.35">
      <c r="B47" s="4" t="s">
        <v>79</v>
      </c>
      <c r="C47" s="4" t="s">
        <v>166</v>
      </c>
      <c r="D47" s="4" t="s">
        <v>124</v>
      </c>
      <c r="J47" s="4" t="s">
        <v>419</v>
      </c>
      <c r="K47" s="4" t="s">
        <v>405</v>
      </c>
      <c r="L47" s="9">
        <v>1.08E-5</v>
      </c>
      <c r="M47" s="9" cm="1">
        <f t="array" ref="M47">_xlfn.XLOOKUP('Project Description'!$C$21,IPCC_GWP_table[GWP_values_list], IPCC_GWP_table[CH₄]*FuelEF_table[[#This Row],[Emission Factor]])</f>
        <v>2.7E-4</v>
      </c>
      <c r="N47" s="9"/>
      <c r="P47" s="167" t="s">
        <v>451</v>
      </c>
      <c r="Q47" s="164">
        <v>4.6849999999999999E-3</v>
      </c>
      <c r="R47" s="1" t="s">
        <v>649</v>
      </c>
      <c r="S47" s="1" t="s">
        <v>439</v>
      </c>
      <c r="T47" s="132" t="str">
        <v>Incineration with Energy Recovery</v>
      </c>
      <c r="W47" s="132" t="s">
        <v>292</v>
      </c>
      <c r="X47" s="132" t="s">
        <v>435</v>
      </c>
      <c r="Y47" s="177">
        <v>1.401</v>
      </c>
      <c r="Z47" s="156" t="s">
        <v>486</v>
      </c>
      <c r="AA47" s="1" t="s">
        <v>439</v>
      </c>
      <c r="AD47" s="132" t="str">
        <v>Fuels (Fossil &amp; Alternatives)</v>
      </c>
      <c r="AI47" s="132" t="s">
        <v>386</v>
      </c>
      <c r="AJ47" s="132" t="s">
        <v>790</v>
      </c>
      <c r="AK47" s="132" t="s">
        <v>795</v>
      </c>
      <c r="AL47" s="1">
        <v>3.882E-2</v>
      </c>
      <c r="AM47" s="1" t="s">
        <v>799</v>
      </c>
    </row>
    <row r="48" spans="1:46" x14ac:dyDescent="0.35">
      <c r="B48" s="4" t="s">
        <v>79</v>
      </c>
      <c r="C48" s="4" t="s">
        <v>166</v>
      </c>
      <c r="D48" s="4" t="s">
        <v>127</v>
      </c>
      <c r="J48" s="4" t="s">
        <v>419</v>
      </c>
      <c r="K48" s="4" t="s">
        <v>406</v>
      </c>
      <c r="L48" s="9">
        <v>2.1600000000000001E-6</v>
      </c>
      <c r="M48" s="9" cm="1">
        <f t="array" ref="M48">_xlfn.XLOOKUP('Project Description'!$C$21,IPCC_GWP_table[GWP_values_list],IPCC_GWP_table[N₂O]*FuelEF_table[[#This Row],[Emission Factor]])</f>
        <v>6.4367999999999999E-4</v>
      </c>
      <c r="N48" s="9"/>
      <c r="P48" s="132" t="s">
        <v>398</v>
      </c>
      <c r="Q48" s="1">
        <v>8.9800000000000001E-3</v>
      </c>
      <c r="R48" s="1" t="s">
        <v>649</v>
      </c>
      <c r="S48" s="1" t="s">
        <v>440</v>
      </c>
      <c r="T48" s="132" t="str">
        <v>Composting</v>
      </c>
      <c r="W48" s="132" t="s">
        <v>292</v>
      </c>
      <c r="X48" s="132" t="s">
        <v>436</v>
      </c>
      <c r="Y48" s="177">
        <v>0.12</v>
      </c>
      <c r="Z48" s="156" t="s">
        <v>486</v>
      </c>
      <c r="AA48" s="1" t="s">
        <v>439</v>
      </c>
      <c r="AD48" s="132" t="str">
        <v>Textiles &amp; Fibres</v>
      </c>
      <c r="AI48" s="132" t="s">
        <v>386</v>
      </c>
      <c r="AJ48" s="132" t="s">
        <v>791</v>
      </c>
      <c r="AK48" s="4" t="s">
        <v>38</v>
      </c>
      <c r="AL48" s="310">
        <v>0.21007000000000001</v>
      </c>
      <c r="AM48" s="1" t="s">
        <v>799</v>
      </c>
    </row>
    <row r="49" spans="2:47" x14ac:dyDescent="0.35">
      <c r="B49" s="4" t="s">
        <v>79</v>
      </c>
      <c r="C49" s="4" t="s">
        <v>166</v>
      </c>
      <c r="D49" s="4" t="s">
        <v>129</v>
      </c>
      <c r="J49" s="4" t="s">
        <v>269</v>
      </c>
      <c r="K49" s="4" t="s">
        <v>404</v>
      </c>
      <c r="L49" s="9">
        <v>0.22720000000000001</v>
      </c>
      <c r="M49" s="9" cm="1">
        <f t="array" ref="M49">_xlfn.XLOOKUP('Project Description'!$C$21,IPCC_GWP_table[GWP_values_list],IPCC_GWP_table[CO₂]*FuelEF_table[[#This Row],[Emission Factor]])</f>
        <v>0.22720000000000001</v>
      </c>
      <c r="N49" s="9"/>
      <c r="P49" s="4" t="s">
        <v>395</v>
      </c>
      <c r="Q49" s="1">
        <v>8.9800000000000001E-3</v>
      </c>
      <c r="R49" s="1" t="s">
        <v>649</v>
      </c>
      <c r="S49" s="1" t="s">
        <v>441</v>
      </c>
      <c r="T49" s="132" t="str">
        <v>Landfill</v>
      </c>
      <c r="W49" s="132" t="s">
        <v>292</v>
      </c>
      <c r="X49" s="132" t="s">
        <v>437</v>
      </c>
      <c r="Y49" s="177">
        <v>3.335</v>
      </c>
      <c r="Z49" s="156" t="s">
        <v>486</v>
      </c>
      <c r="AA49" s="1" t="s">
        <v>439</v>
      </c>
      <c r="AD49" s="132" t="str">
        <v>Paper, Packaging &amp; Wood Products</v>
      </c>
      <c r="AI49" s="132" t="s">
        <v>386</v>
      </c>
      <c r="AJ49" s="132" t="s">
        <v>791</v>
      </c>
      <c r="AK49" s="132" t="s">
        <v>382</v>
      </c>
      <c r="AL49" s="1">
        <v>0.26828000000000002</v>
      </c>
      <c r="AM49" s="1" t="s">
        <v>799</v>
      </c>
    </row>
    <row r="50" spans="2:47" x14ac:dyDescent="0.35">
      <c r="B50" s="4" t="s">
        <v>79</v>
      </c>
      <c r="C50" s="4" t="s">
        <v>166</v>
      </c>
      <c r="D50" s="4" t="s">
        <v>131</v>
      </c>
      <c r="J50" s="4" t="s">
        <v>269</v>
      </c>
      <c r="K50" s="4" t="s">
        <v>405</v>
      </c>
      <c r="L50" s="9">
        <v>3.5999999999999998E-6</v>
      </c>
      <c r="M50" s="9" cm="1">
        <f t="array" ref="M50">_xlfn.XLOOKUP('Project Description'!$C$21,IPCC_GWP_table[GWP_values_list], IPCC_GWP_table[CH₄]*FuelEF_table[[#This Row],[Emission Factor]])</f>
        <v>8.9999999999999992E-5</v>
      </c>
      <c r="N50" s="9"/>
      <c r="P50" s="132" t="s">
        <v>452</v>
      </c>
      <c r="Q50" s="1">
        <v>8.9800000000000001E-3</v>
      </c>
      <c r="R50" s="1" t="s">
        <v>649</v>
      </c>
      <c r="S50" s="1" t="s">
        <v>442</v>
      </c>
      <c r="T50" s="132" t="str">
        <v>Anaerobic Digestion</v>
      </c>
      <c r="W50" s="132" t="s">
        <v>292</v>
      </c>
      <c r="X50" s="132" t="s">
        <v>438</v>
      </c>
      <c r="Y50" s="177">
        <v>0.73099999999999998</v>
      </c>
      <c r="Z50" s="156" t="s">
        <v>486</v>
      </c>
      <c r="AA50" s="1" t="s">
        <v>439</v>
      </c>
      <c r="AD50" s="132" t="str">
        <v>Agrifood - Biomass &amp; Residues</v>
      </c>
      <c r="AI50" s="132" t="s">
        <v>386</v>
      </c>
      <c r="AJ50" s="132" t="s">
        <v>791</v>
      </c>
      <c r="AK50" s="132" t="s">
        <v>793</v>
      </c>
      <c r="AL50" s="1">
        <v>0.1565</v>
      </c>
      <c r="AM50" s="1" t="s">
        <v>799</v>
      </c>
    </row>
    <row r="51" spans="2:47" x14ac:dyDescent="0.35">
      <c r="B51" s="4" t="s">
        <v>79</v>
      </c>
      <c r="C51" s="4" t="s">
        <v>166</v>
      </c>
      <c r="D51" s="4" t="s">
        <v>133</v>
      </c>
      <c r="J51" s="4" t="s">
        <v>269</v>
      </c>
      <c r="K51" s="4" t="s">
        <v>406</v>
      </c>
      <c r="L51" s="9">
        <v>3.5999999999999999E-7</v>
      </c>
      <c r="M51" s="9" cm="1">
        <f t="array" ref="M51">_xlfn.XLOOKUP('Project Description'!$C$21,IPCC_GWP_table[GWP_values_list],IPCC_GWP_table[N₂O]*FuelEF_table[[#This Row],[Emission Factor]])</f>
        <v>1.0728E-4</v>
      </c>
      <c r="N51" s="9"/>
      <c r="W51" s="132" t="s">
        <v>292</v>
      </c>
      <c r="X51" s="132" t="s">
        <v>35</v>
      </c>
      <c r="Y51" s="177">
        <v>1.4019999999999999</v>
      </c>
      <c r="Z51" s="156" t="s">
        <v>486</v>
      </c>
      <c r="AA51" s="1" t="s">
        <v>439</v>
      </c>
      <c r="AD51" s="132" t="str">
        <v>Water</v>
      </c>
      <c r="AI51" s="132" t="s">
        <v>386</v>
      </c>
      <c r="AJ51" s="132" t="s">
        <v>791</v>
      </c>
      <c r="AK51" s="132" t="s">
        <v>340</v>
      </c>
      <c r="AL51" s="1">
        <v>0.23721999999999999</v>
      </c>
      <c r="AM51" s="1" t="s">
        <v>799</v>
      </c>
    </row>
    <row r="52" spans="2:47" x14ac:dyDescent="0.35">
      <c r="B52" s="4" t="s">
        <v>79</v>
      </c>
      <c r="C52" s="4" t="s">
        <v>166</v>
      </c>
      <c r="D52" s="4" t="s">
        <v>136</v>
      </c>
      <c r="J52" s="4" t="s">
        <v>39</v>
      </c>
      <c r="K52" s="4" t="s">
        <v>404</v>
      </c>
      <c r="L52" s="9">
        <v>0.20200000000000001</v>
      </c>
      <c r="M52" s="9" cm="1">
        <f t="array" ref="M52">_xlfn.XLOOKUP('Project Description'!$C$21,IPCC_GWP_table[GWP_values_list],IPCC_GWP_table[CO₂]*FuelEF_table[[#This Row],[Emission Factor]])</f>
        <v>0.20200000000000001</v>
      </c>
      <c r="N52" s="9"/>
      <c r="W52" s="132" t="s">
        <v>307</v>
      </c>
      <c r="X52" s="132" t="s">
        <v>265</v>
      </c>
      <c r="Y52" s="177"/>
      <c r="Z52" s="156" t="s">
        <v>486</v>
      </c>
      <c r="AE52" s="3"/>
      <c r="AF52" s="3"/>
      <c r="AI52" s="132" t="s">
        <v>386</v>
      </c>
      <c r="AJ52" s="132" t="s">
        <v>791</v>
      </c>
      <c r="AK52" s="132" t="s">
        <v>269</v>
      </c>
      <c r="AL52" s="1">
        <v>0.26771</v>
      </c>
      <c r="AM52" s="1" t="s">
        <v>799</v>
      </c>
    </row>
    <row r="53" spans="2:47" x14ac:dyDescent="0.35">
      <c r="B53" s="4" t="s">
        <v>79</v>
      </c>
      <c r="C53" s="4" t="s">
        <v>166</v>
      </c>
      <c r="D53" s="4" t="s">
        <v>137</v>
      </c>
      <c r="J53" s="4" t="s">
        <v>39</v>
      </c>
      <c r="K53" s="4" t="s">
        <v>405</v>
      </c>
      <c r="L53" s="9">
        <v>1.08E-5</v>
      </c>
      <c r="M53" s="9" cm="1">
        <f t="array" ref="M53">_xlfn.XLOOKUP('Project Description'!$C$21,IPCC_GWP_table[GWP_values_list], IPCC_GWP_table[CH₄]*FuelEF_table[[#This Row],[Emission Factor]])</f>
        <v>2.7E-4</v>
      </c>
      <c r="N53" s="9"/>
      <c r="W53" s="132" t="s">
        <v>307</v>
      </c>
      <c r="X53" s="132" t="s">
        <v>308</v>
      </c>
      <c r="Y53" s="177"/>
      <c r="Z53" s="156" t="s">
        <v>486</v>
      </c>
      <c r="AE53" s="4"/>
      <c r="AF53" s="4"/>
      <c r="AI53" s="132" t="s">
        <v>386</v>
      </c>
      <c r="AJ53" s="132" t="s">
        <v>791</v>
      </c>
      <c r="AK53" s="132" t="s">
        <v>794</v>
      </c>
      <c r="AL53" s="1">
        <v>0.1143</v>
      </c>
      <c r="AM53" s="1" t="s">
        <v>799</v>
      </c>
    </row>
    <row r="54" spans="2:47" x14ac:dyDescent="0.35">
      <c r="B54" s="4" t="s">
        <v>79</v>
      </c>
      <c r="C54" s="4" t="s">
        <v>166</v>
      </c>
      <c r="D54" s="4" t="s">
        <v>138</v>
      </c>
      <c r="J54" s="4" t="s">
        <v>39</v>
      </c>
      <c r="K54" s="4" t="s">
        <v>406</v>
      </c>
      <c r="L54" s="9">
        <v>2.1600000000000001E-6</v>
      </c>
      <c r="M54" s="9" cm="1">
        <f t="array" ref="M54">_xlfn.XLOOKUP('Project Description'!$C$21,IPCC_GWP_table[GWP_values_list],IPCC_GWP_table[N₂O]*FuelEF_table[[#This Row],[Emission Factor]])</f>
        <v>6.4367999999999999E-4</v>
      </c>
      <c r="N54" s="9"/>
      <c r="W54" s="132" t="s">
        <v>307</v>
      </c>
      <c r="X54" s="132" t="s">
        <v>309</v>
      </c>
      <c r="Y54" s="177"/>
      <c r="Z54" s="156" t="s">
        <v>486</v>
      </c>
      <c r="AE54" s="4"/>
      <c r="AF54" s="4"/>
      <c r="AI54" s="132" t="s">
        <v>386</v>
      </c>
      <c r="AJ54" s="132" t="s">
        <v>791</v>
      </c>
      <c r="AK54" s="132" t="s">
        <v>795</v>
      </c>
      <c r="AL54" s="1">
        <v>4.2049999999999997E-2</v>
      </c>
      <c r="AM54" s="1" t="s">
        <v>799</v>
      </c>
    </row>
    <row r="55" spans="2:47" x14ac:dyDescent="0.35">
      <c r="B55" s="4" t="s">
        <v>79</v>
      </c>
      <c r="C55" s="4" t="s">
        <v>167</v>
      </c>
      <c r="D55" s="4" t="s">
        <v>88</v>
      </c>
      <c r="J55" s="4" t="s">
        <v>420</v>
      </c>
      <c r="K55" s="4" t="s">
        <v>404</v>
      </c>
      <c r="L55" s="9">
        <v>0.1598</v>
      </c>
      <c r="M55" s="9" cm="1">
        <f t="array" ref="M55">_xlfn.XLOOKUP('Project Description'!$C$21,IPCC_GWP_table[GWP_values_list],IPCC_GWP_table[CO₂]*FuelEF_table[[#This Row],[Emission Factor]])</f>
        <v>0.1598</v>
      </c>
      <c r="N55" s="9"/>
      <c r="W55" s="132" t="s">
        <v>307</v>
      </c>
      <c r="X55" s="132" t="s">
        <v>310</v>
      </c>
      <c r="Y55" s="177"/>
      <c r="Z55" s="156" t="s">
        <v>486</v>
      </c>
      <c r="AD55" s="4"/>
      <c r="AE55" s="4"/>
      <c r="AF55" s="4"/>
      <c r="AI55" s="132" t="s">
        <v>386</v>
      </c>
      <c r="AJ55" s="132" t="s">
        <v>792</v>
      </c>
      <c r="AK55" s="4" t="s">
        <v>38</v>
      </c>
      <c r="AL55" s="310">
        <v>0.17304</v>
      </c>
      <c r="AM55" s="1" t="s">
        <v>799</v>
      </c>
    </row>
    <row r="56" spans="2:47" x14ac:dyDescent="0.35">
      <c r="B56" s="4" t="s">
        <v>79</v>
      </c>
      <c r="C56" s="4" t="s">
        <v>167</v>
      </c>
      <c r="D56" s="4" t="s">
        <v>103</v>
      </c>
      <c r="J56" s="4" t="s">
        <v>420</v>
      </c>
      <c r="K56" s="4" t="s">
        <v>405</v>
      </c>
      <c r="L56" s="9">
        <v>3.5999999999999998E-6</v>
      </c>
      <c r="M56" s="9" cm="1">
        <f t="array" ref="M56">_xlfn.XLOOKUP('Project Description'!$C$21,IPCC_GWP_table[GWP_values_list], IPCC_GWP_table[CH₄]*FuelEF_table[[#This Row],[Emission Factor]])</f>
        <v>8.9999999999999992E-5</v>
      </c>
      <c r="N56" s="9"/>
      <c r="W56" s="132" t="s">
        <v>307</v>
      </c>
      <c r="X56" s="132" t="s">
        <v>311</v>
      </c>
      <c r="Y56" s="177"/>
      <c r="Z56" s="156" t="s">
        <v>486</v>
      </c>
      <c r="AD56" s="4"/>
      <c r="AE56" s="4"/>
      <c r="AF56" s="4"/>
      <c r="AI56" s="132" t="s">
        <v>386</v>
      </c>
      <c r="AJ56" s="132" t="s">
        <v>792</v>
      </c>
      <c r="AK56" s="132" t="s">
        <v>382</v>
      </c>
      <c r="AL56" s="1">
        <v>0.16272</v>
      </c>
      <c r="AM56" s="1" t="s">
        <v>799</v>
      </c>
    </row>
    <row r="57" spans="2:47" x14ac:dyDescent="0.35">
      <c r="B57" s="4" t="s">
        <v>79</v>
      </c>
      <c r="C57" s="4" t="s">
        <v>167</v>
      </c>
      <c r="D57" s="4" t="s">
        <v>111</v>
      </c>
      <c r="J57" s="4" t="s">
        <v>420</v>
      </c>
      <c r="K57" s="4" t="s">
        <v>406</v>
      </c>
      <c r="L57" s="9">
        <v>3.5999999999999999E-7</v>
      </c>
      <c r="M57" s="9" cm="1">
        <f t="array" ref="M57">_xlfn.XLOOKUP('Project Description'!$C$21,IPCC_GWP_table[GWP_values_list],IPCC_GWP_table[N₂O]*FuelEF_table[[#This Row],[Emission Factor]])</f>
        <v>1.0728E-4</v>
      </c>
      <c r="N57" s="9"/>
      <c r="W57" s="132" t="s">
        <v>307</v>
      </c>
      <c r="X57" s="132" t="s">
        <v>266</v>
      </c>
      <c r="Y57" s="177"/>
      <c r="Z57" s="156" t="s">
        <v>486</v>
      </c>
      <c r="AD57" s="3">
        <v>4</v>
      </c>
      <c r="AE57" s="4"/>
      <c r="AF57" s="4"/>
      <c r="AI57" s="132" t="s">
        <v>386</v>
      </c>
      <c r="AJ57" s="132" t="s">
        <v>792</v>
      </c>
      <c r="AK57" s="132" t="s">
        <v>793</v>
      </c>
      <c r="AL57" s="1">
        <v>0.12825</v>
      </c>
      <c r="AM57" s="1" t="s">
        <v>799</v>
      </c>
    </row>
    <row r="58" spans="2:47" x14ac:dyDescent="0.35">
      <c r="B58" s="4" t="s">
        <v>79</v>
      </c>
      <c r="C58" s="4" t="s">
        <v>167</v>
      </c>
      <c r="D58" s="4" t="s">
        <v>121</v>
      </c>
      <c r="J58" s="4" t="s">
        <v>421</v>
      </c>
      <c r="K58" s="4" t="s">
        <v>404</v>
      </c>
      <c r="L58" s="9">
        <v>0.93600000000000005</v>
      </c>
      <c r="M58" s="9" cm="1">
        <f t="array" ref="M58">_xlfn.XLOOKUP('Project Description'!$C$21,IPCC_GWP_table[GWP_values_list],IPCC_GWP_table[CO₂]*FuelEF_table[[#This Row],[Emission Factor]])</f>
        <v>0.93600000000000005</v>
      </c>
      <c r="N58" s="9"/>
      <c r="W58" s="132" t="s">
        <v>307</v>
      </c>
      <c r="X58" s="132" t="s">
        <v>312</v>
      </c>
      <c r="Y58" s="177"/>
      <c r="Z58" s="156" t="s">
        <v>486</v>
      </c>
      <c r="AD58" s="132" t="str" cm="1">
        <f t="array" ref="AD58:AD68">_xlfn.UNIQUE(Material_table[Material Type])</f>
        <v>Select Material Type</v>
      </c>
      <c r="AE58" s="132" t="str" cm="1">
        <f t="array" ref="AE58">_xlfn._xlws.SORT(
  _xlfn.UNIQUE(
    _xlfn._xlws.FILTER(
      Material_table[Material],
      Material_table[Material Type]='Baseline Inventory'!C16
    )
  )
)</f>
        <v>Select Material</v>
      </c>
      <c r="AF58" s="132" t="str" cm="1">
        <f t="array" ref="AF58">_xlfn._xlws.SORT(
  _xlfn.UNIQUE(
    _xlfn._xlws.FILTER(
      Material_table[Material],
      Material_table[Material Type]='Annual (or) Project Inventory'!C16
    )
  )
)</f>
        <v>Select Material</v>
      </c>
      <c r="AI58" s="132" t="s">
        <v>386</v>
      </c>
      <c r="AJ58" s="132" t="s">
        <v>792</v>
      </c>
      <c r="AK58" s="132" t="s">
        <v>340</v>
      </c>
      <c r="AL58" s="1">
        <v>0.17413999999999999</v>
      </c>
      <c r="AM58" s="1" t="s">
        <v>799</v>
      </c>
    </row>
    <row r="59" spans="2:47" x14ac:dyDescent="0.35">
      <c r="B59" s="4" t="s">
        <v>79</v>
      </c>
      <c r="C59" s="4" t="s">
        <v>167</v>
      </c>
      <c r="D59" s="4" t="s">
        <v>130</v>
      </c>
      <c r="J59" s="4" t="s">
        <v>421</v>
      </c>
      <c r="K59" s="4" t="s">
        <v>405</v>
      </c>
      <c r="L59" s="9">
        <v>3.5999999999999998E-6</v>
      </c>
      <c r="M59" s="9" cm="1">
        <f t="array" ref="M59">_xlfn.XLOOKUP('Project Description'!$C$21,IPCC_GWP_table[GWP_values_list], IPCC_GWP_table[CH₄]*FuelEF_table[[#This Row],[Emission Factor]])</f>
        <v>8.9999999999999992E-5</v>
      </c>
      <c r="N59" s="9"/>
      <c r="W59" s="132" t="s">
        <v>307</v>
      </c>
      <c r="X59" s="132" t="s">
        <v>313</v>
      </c>
      <c r="Y59" s="177"/>
      <c r="Z59" s="156" t="s">
        <v>486</v>
      </c>
      <c r="AD59" s="132" t="str">
        <v>Metals</v>
      </c>
      <c r="AI59" s="132" t="s">
        <v>386</v>
      </c>
      <c r="AJ59" s="132" t="s">
        <v>792</v>
      </c>
      <c r="AK59" s="132" t="s">
        <v>269</v>
      </c>
      <c r="AL59" s="1">
        <v>0.19599</v>
      </c>
      <c r="AM59" s="1" t="s">
        <v>799</v>
      </c>
    </row>
    <row r="60" spans="2:47" x14ac:dyDescent="0.35">
      <c r="B60" s="4" t="s">
        <v>80</v>
      </c>
      <c r="C60" s="4" t="s">
        <v>168</v>
      </c>
      <c r="D60" s="4" t="s">
        <v>140</v>
      </c>
      <c r="J60" s="4" t="s">
        <v>421</v>
      </c>
      <c r="K60" s="4" t="s">
        <v>406</v>
      </c>
      <c r="L60" s="9">
        <v>3.5999999999999999E-7</v>
      </c>
      <c r="M60" s="9" cm="1">
        <f t="array" ref="M60">_xlfn.XLOOKUP('Project Description'!$C$21,IPCC_GWP_table[GWP_values_list], IPCC_GWP_table[CH₄]*FuelEF_table[[#This Row],[Emission Factor]])</f>
        <v>9.0000000000000002E-6</v>
      </c>
      <c r="N60" s="9"/>
      <c r="W60" s="132" t="s">
        <v>307</v>
      </c>
      <c r="X60" s="132" t="s">
        <v>314</v>
      </c>
      <c r="Y60" s="177"/>
      <c r="Z60" s="156" t="s">
        <v>486</v>
      </c>
      <c r="AD60" s="132" t="str">
        <v>Polymers (Plastics &amp; Bio-polymers)</v>
      </c>
      <c r="AI60" s="132" t="s">
        <v>386</v>
      </c>
      <c r="AJ60" s="132" t="s">
        <v>792</v>
      </c>
      <c r="AK60" s="132" t="s">
        <v>794</v>
      </c>
      <c r="AL60" s="1">
        <v>0.10460999999999999</v>
      </c>
      <c r="AM60" s="1" t="s">
        <v>799</v>
      </c>
    </row>
    <row r="61" spans="2:47" x14ac:dyDescent="0.35">
      <c r="B61" s="4" t="s">
        <v>80</v>
      </c>
      <c r="C61" s="4" t="s">
        <v>168</v>
      </c>
      <c r="D61" s="4" t="s">
        <v>139</v>
      </c>
      <c r="M61" s="9"/>
      <c r="N61" s="9"/>
      <c r="W61" s="132" t="s">
        <v>307</v>
      </c>
      <c r="X61" s="132" t="s">
        <v>315</v>
      </c>
      <c r="Y61" s="177"/>
      <c r="Z61" s="156" t="s">
        <v>486</v>
      </c>
      <c r="AD61" s="132" t="str">
        <v>Minerals &amp; Construction Materials</v>
      </c>
      <c r="AI61" s="132" t="s">
        <v>386</v>
      </c>
      <c r="AJ61" s="132" t="s">
        <v>792</v>
      </c>
      <c r="AK61" s="132" t="s">
        <v>795</v>
      </c>
      <c r="AL61" s="1">
        <v>4.0469999999999999E-2</v>
      </c>
      <c r="AM61" s="1" t="s">
        <v>799</v>
      </c>
    </row>
    <row r="62" spans="2:47" x14ac:dyDescent="0.35">
      <c r="B62" s="4" t="s">
        <v>80</v>
      </c>
      <c r="C62" s="4" t="s">
        <v>169</v>
      </c>
      <c r="D62" s="4" t="s">
        <v>141</v>
      </c>
      <c r="W62" s="132" t="s">
        <v>307</v>
      </c>
      <c r="X62" s="132" t="s">
        <v>316</v>
      </c>
      <c r="Y62" s="177"/>
      <c r="Z62" s="156" t="s">
        <v>486</v>
      </c>
      <c r="AD62" s="132" t="str">
        <v>Chemicals &amp; Industrial Inputs</v>
      </c>
    </row>
    <row r="63" spans="2:47" x14ac:dyDescent="0.35">
      <c r="B63" s="4" t="s">
        <v>80</v>
      </c>
      <c r="C63" s="4" t="s">
        <v>170</v>
      </c>
      <c r="D63" s="4" t="s">
        <v>143</v>
      </c>
      <c r="J63" s="344" t="s">
        <v>392</v>
      </c>
      <c r="K63" s="344"/>
      <c r="L63" s="344"/>
      <c r="V63" s="4"/>
      <c r="W63" s="132" t="s">
        <v>307</v>
      </c>
      <c r="X63" s="132" t="s">
        <v>317</v>
      </c>
      <c r="Y63" s="177"/>
      <c r="Z63" s="156" t="s">
        <v>486</v>
      </c>
      <c r="AD63" s="132" t="str">
        <v>Electronics &amp; Energy Components</v>
      </c>
      <c r="AO63" s="132" t="str" cm="1">
        <f t="array" ref="AO63:AO67">_xlfn.VSTACK(
  "Select Vehicle Category",
  _xlfn._xlws.SORT(
    _xlfn._xlws.FILTER(
      _xlfn.UNIQUE(Transport_table[Vehicle Category]),
      _xlfn.UNIQUE(Transport_table[Vehicle Category])&lt;&gt;"Select Vehicle Category"
    )
  )
)</f>
        <v>Select Vehicle Category</v>
      </c>
      <c r="AP63" s="132" t="str" cm="1">
        <f t="array" ref="AP63">IF(
  'Baseline Inventory'!C53="Select Vehicle Category",
  "Select Vehicle Type",
  _xlfn._xlws.SORT(
    _xlfn.UNIQUE(
      _xlfn._xlws.FILTER(
        Transport_table[Vehicle Type],
        Transport_table[Vehicle Category]='Baseline Inventory'!C53
      )
    )
  )
)</f>
        <v>Select Vehicle Type</v>
      </c>
      <c r="AQ63" s="4" t="str" cm="1">
        <f t="array" ref="AQ63">IF(
  OR(
    'Baseline Inventory'!C53="Select Vehicle Category",
    'Baseline Inventory'!D53="Select Vehicle Type"
  ),
  "Select Fuel Type",
  _xlfn._xlws.SORT(
    _xlfn._xlws.FILTER(
      Transport_table[Fuel Type],
      (Transport_table[Vehicle Type]='Baseline Inventory'!D53) *
      (Transport_table[Vehicle Category]='Baseline Inventory'!C53)
    )
  )
)</f>
        <v>Select Fuel Type</v>
      </c>
      <c r="AR63" s="132" t="str" cm="1">
        <f t="array" ref="AR63:AR67">_xlfn.UNIQUE(Transport_table[Vehicle Category])</f>
        <v>Select Vehicle Category</v>
      </c>
      <c r="AS63" s="132" t="str" cm="1">
        <f t="array" ref="AS63">_xlfn._xlws.SORT(
  _xlfn.UNIQUE(
    _xlfn._xlws.FILTER(
      Transport_table[Vehicle Type],Transport_table[Vehicle Category]='Annual (or) Project Inventory'!C53
    )
  )
)</f>
        <v>Select Vehicle Type</v>
      </c>
      <c r="AT63" s="4" t="str" cm="1">
        <f t="array" ref="AT63">_xlfn._xlws.SORT(_xlfn._xlws.FILTER(Transport_table[Fuel Type],(Transport_table[Vehicle Type]='Annual (or) Project Inventory'!D53)*(Transport_table[Vehicle Category]='Annual (or) Project Inventory'!C53)))</f>
        <v>Select Fuel Type</v>
      </c>
      <c r="AU63" s="4"/>
    </row>
    <row r="64" spans="2:47" x14ac:dyDescent="0.35">
      <c r="B64" s="4" t="s">
        <v>80</v>
      </c>
      <c r="C64" s="4" t="s">
        <v>170</v>
      </c>
      <c r="D64" s="4" t="s">
        <v>142</v>
      </c>
      <c r="J64" s="132" t="s">
        <v>58</v>
      </c>
      <c r="K64" s="132" t="s">
        <v>380</v>
      </c>
      <c r="L64" s="132" t="s">
        <v>400</v>
      </c>
      <c r="W64" s="132" t="s">
        <v>307</v>
      </c>
      <c r="X64" s="132" t="s">
        <v>318</v>
      </c>
      <c r="Y64" s="177"/>
      <c r="Z64" s="156" t="s">
        <v>486</v>
      </c>
      <c r="AD64" s="132" t="str">
        <v>Fuels (Fossil &amp; Alternatives)</v>
      </c>
      <c r="AO64" s="132" t="str">
        <v>Heavy Goods Vehicles (HGVs)</v>
      </c>
      <c r="AR64" s="132" t="str">
        <v>Heavy Goods Vehicles (HGVs)</v>
      </c>
    </row>
    <row r="65" spans="2:44" x14ac:dyDescent="0.35">
      <c r="B65" s="4" t="s">
        <v>80</v>
      </c>
      <c r="C65" s="4" t="s">
        <v>170</v>
      </c>
      <c r="D65" s="4" t="s">
        <v>144</v>
      </c>
      <c r="J65" s="1" t="s">
        <v>470</v>
      </c>
      <c r="W65" s="132" t="s">
        <v>307</v>
      </c>
      <c r="X65" s="132" t="s">
        <v>319</v>
      </c>
      <c r="Y65" s="177"/>
      <c r="Z65" s="156" t="s">
        <v>486</v>
      </c>
      <c r="AD65" s="132" t="str">
        <v>Textiles &amp; Fibres</v>
      </c>
      <c r="AO65" s="132" t="str">
        <v>HGV refrigerated</v>
      </c>
      <c r="AR65" s="132" t="str">
        <v>HGV refrigerated</v>
      </c>
    </row>
    <row r="66" spans="2:44" x14ac:dyDescent="0.35">
      <c r="B66" s="4" t="s">
        <v>80</v>
      </c>
      <c r="C66" s="4" t="s">
        <v>170</v>
      </c>
      <c r="D66" s="4" t="s">
        <v>145</v>
      </c>
      <c r="J66" s="1">
        <v>2000</v>
      </c>
      <c r="K66" s="1"/>
      <c r="W66" s="132" t="s">
        <v>307</v>
      </c>
      <c r="X66" s="132" t="s">
        <v>320</v>
      </c>
      <c r="Y66" s="177"/>
      <c r="Z66" s="156" t="s">
        <v>486</v>
      </c>
      <c r="AD66" s="132" t="str">
        <v>Paper, Packaging &amp; Wood Products</v>
      </c>
      <c r="AO66" s="132" t="str">
        <v>Passenger Cars</v>
      </c>
      <c r="AR66" s="132" t="str">
        <v>Vans</v>
      </c>
    </row>
    <row r="67" spans="2:44" x14ac:dyDescent="0.35">
      <c r="B67" s="4" t="s">
        <v>80</v>
      </c>
      <c r="C67" s="4" t="s">
        <v>170</v>
      </c>
      <c r="D67" s="4" t="s">
        <v>146</v>
      </c>
      <c r="J67" s="1">
        <v>2001</v>
      </c>
      <c r="K67" s="1">
        <v>0.82</v>
      </c>
      <c r="L67" s="1" t="s">
        <v>401</v>
      </c>
      <c r="W67" s="132" t="s">
        <v>307</v>
      </c>
      <c r="X67" s="132" t="s">
        <v>321</v>
      </c>
      <c r="Y67" s="177"/>
      <c r="Z67" s="156" t="s">
        <v>486</v>
      </c>
      <c r="AD67" s="132" t="str">
        <v>Agrifood - Biomass &amp; Residues</v>
      </c>
      <c r="AO67" s="132" t="str">
        <v>Vans</v>
      </c>
      <c r="AR67" s="132" t="str">
        <v>Passenger Cars</v>
      </c>
    </row>
    <row r="68" spans="2:44" x14ac:dyDescent="0.35">
      <c r="B68" s="4" t="s">
        <v>81</v>
      </c>
      <c r="C68" s="4" t="s">
        <v>171</v>
      </c>
      <c r="D68" s="4" t="s">
        <v>172</v>
      </c>
      <c r="J68" s="1">
        <v>2002</v>
      </c>
      <c r="K68" s="1">
        <v>0.83</v>
      </c>
      <c r="L68" s="1" t="s">
        <v>401</v>
      </c>
      <c r="W68" s="132" t="s">
        <v>307</v>
      </c>
      <c r="X68" s="132" t="s">
        <v>322</v>
      </c>
      <c r="Y68" s="177"/>
      <c r="Z68" s="156" t="s">
        <v>486</v>
      </c>
      <c r="AD68" s="132" t="str">
        <v>Water</v>
      </c>
    </row>
    <row r="69" spans="2:44" x14ac:dyDescent="0.35">
      <c r="B69" s="4" t="s">
        <v>81</v>
      </c>
      <c r="C69" s="4" t="s">
        <v>171</v>
      </c>
      <c r="D69" s="4" t="s">
        <v>173</v>
      </c>
      <c r="J69" s="1">
        <v>2003</v>
      </c>
      <c r="K69" s="1">
        <v>0.85</v>
      </c>
      <c r="L69" s="1" t="s">
        <v>401</v>
      </c>
      <c r="W69" s="132" t="s">
        <v>323</v>
      </c>
      <c r="X69" s="132" t="s">
        <v>267</v>
      </c>
      <c r="Y69" s="177"/>
      <c r="Z69" s="156" t="s">
        <v>486</v>
      </c>
      <c r="AE69" s="3"/>
      <c r="AF69" s="3"/>
    </row>
    <row r="70" spans="2:44" x14ac:dyDescent="0.35">
      <c r="B70" s="4" t="s">
        <v>81</v>
      </c>
      <c r="C70" s="4" t="s">
        <v>171</v>
      </c>
      <c r="D70" s="4" t="s">
        <v>174</v>
      </c>
      <c r="J70" s="1">
        <v>2004</v>
      </c>
      <c r="K70" s="1">
        <v>0.85</v>
      </c>
      <c r="L70" s="1" t="s">
        <v>401</v>
      </c>
      <c r="W70" s="132" t="s">
        <v>323</v>
      </c>
      <c r="X70" s="132" t="s">
        <v>324</v>
      </c>
      <c r="Y70" s="177"/>
      <c r="Z70" s="156" t="s">
        <v>486</v>
      </c>
      <c r="AE70" s="4"/>
      <c r="AF70" s="4"/>
    </row>
    <row r="71" spans="2:44" x14ac:dyDescent="0.35">
      <c r="B71" s="4" t="s">
        <v>81</v>
      </c>
      <c r="C71" s="4" t="s">
        <v>171</v>
      </c>
      <c r="D71" s="4" t="s">
        <v>175</v>
      </c>
      <c r="J71" s="1">
        <v>2005</v>
      </c>
      <c r="K71" s="1">
        <v>0.84</v>
      </c>
      <c r="L71" s="1" t="s">
        <v>401</v>
      </c>
      <c r="W71" s="132" t="s">
        <v>323</v>
      </c>
      <c r="X71" s="132" t="s">
        <v>325</v>
      </c>
      <c r="Y71" s="177"/>
      <c r="Z71" s="156" t="s">
        <v>486</v>
      </c>
      <c r="AE71" s="4"/>
      <c r="AF71" s="4"/>
    </row>
    <row r="72" spans="2:44" x14ac:dyDescent="0.35">
      <c r="B72" s="4" t="s">
        <v>81</v>
      </c>
      <c r="C72" s="4" t="s">
        <v>171</v>
      </c>
      <c r="D72" s="4" t="s">
        <v>176</v>
      </c>
      <c r="J72" s="1">
        <v>2006</v>
      </c>
      <c r="K72" s="1">
        <v>0.81</v>
      </c>
      <c r="L72" s="1" t="s">
        <v>401</v>
      </c>
      <c r="W72" s="132" t="s">
        <v>323</v>
      </c>
      <c r="X72" s="132" t="s">
        <v>326</v>
      </c>
      <c r="Y72" s="177"/>
      <c r="Z72" s="156" t="s">
        <v>486</v>
      </c>
      <c r="AD72" s="4"/>
      <c r="AE72" s="4"/>
      <c r="AF72" s="4"/>
    </row>
    <row r="73" spans="2:44" x14ac:dyDescent="0.35">
      <c r="B73" s="4" t="s">
        <v>81</v>
      </c>
      <c r="C73" s="4" t="s">
        <v>177</v>
      </c>
      <c r="D73" s="4" t="s">
        <v>147</v>
      </c>
      <c r="J73" s="1">
        <v>2007</v>
      </c>
      <c r="K73" s="1">
        <v>0.8</v>
      </c>
      <c r="L73" s="1" t="s">
        <v>401</v>
      </c>
      <c r="W73" s="132" t="s">
        <v>323</v>
      </c>
      <c r="X73" s="132" t="s">
        <v>327</v>
      </c>
      <c r="Y73" s="177"/>
      <c r="Z73" s="156" t="s">
        <v>486</v>
      </c>
      <c r="AD73" s="4"/>
      <c r="AE73" s="4"/>
      <c r="AF73" s="4"/>
    </row>
    <row r="74" spans="2:44" x14ac:dyDescent="0.35">
      <c r="B74" s="4" t="s">
        <v>81</v>
      </c>
      <c r="C74" s="4" t="s">
        <v>177</v>
      </c>
      <c r="D74" s="4" t="s">
        <v>178</v>
      </c>
      <c r="J74" s="1">
        <v>2008</v>
      </c>
      <c r="K74" s="1">
        <v>0.79</v>
      </c>
      <c r="L74" s="1" t="s">
        <v>401</v>
      </c>
      <c r="W74" s="132" t="s">
        <v>323</v>
      </c>
      <c r="X74" s="132" t="s">
        <v>268</v>
      </c>
      <c r="Y74" s="177"/>
      <c r="Z74" s="156" t="s">
        <v>486</v>
      </c>
      <c r="AD74" s="3">
        <v>5</v>
      </c>
      <c r="AE74" s="4"/>
      <c r="AF74" s="4"/>
    </row>
    <row r="75" spans="2:44" x14ac:dyDescent="0.35">
      <c r="B75" s="4" t="s">
        <v>81</v>
      </c>
      <c r="C75" s="4" t="s">
        <v>177</v>
      </c>
      <c r="D75" s="4" t="s">
        <v>179</v>
      </c>
      <c r="J75" s="1">
        <v>2009</v>
      </c>
      <c r="K75" s="1">
        <v>0.82</v>
      </c>
      <c r="L75" s="1" t="s">
        <v>401</v>
      </c>
      <c r="W75" s="132" t="s">
        <v>323</v>
      </c>
      <c r="X75" s="132" t="s">
        <v>328</v>
      </c>
      <c r="Y75" s="177"/>
      <c r="Z75" s="156" t="s">
        <v>486</v>
      </c>
      <c r="AD75" s="132" t="str" cm="1">
        <f t="array" ref="AD75:AD85">_xlfn.UNIQUE(Material_table[Material Type])</f>
        <v>Select Material Type</v>
      </c>
      <c r="AE75" s="132" t="str" cm="1">
        <f t="array" ref="AE75">_xlfn._xlws.SORT(
  _xlfn.UNIQUE(
    _xlfn._xlws.FILTER(
      Material_table[Material],
      Material_table[Material Type]='Baseline Inventory'!C17
    )
  )
)</f>
        <v>Select Material</v>
      </c>
      <c r="AF75" s="132" t="str" cm="1">
        <f t="array" ref="AF75">_xlfn._xlws.SORT(
  _xlfn.UNIQUE(
    _xlfn._xlws.FILTER(
      Material_table[Material],
      Material_table[Material Type]='Annual (or) Project Inventory'!C17
    )
  )
)</f>
        <v>Select Material</v>
      </c>
    </row>
    <row r="76" spans="2:44" x14ac:dyDescent="0.35">
      <c r="B76" s="4" t="s">
        <v>81</v>
      </c>
      <c r="C76" s="4" t="s">
        <v>177</v>
      </c>
      <c r="D76" s="4" t="s">
        <v>180</v>
      </c>
      <c r="J76" s="1">
        <v>2010</v>
      </c>
      <c r="K76" s="1">
        <v>0.81</v>
      </c>
      <c r="L76" s="1" t="s">
        <v>401</v>
      </c>
      <c r="W76" s="132" t="s">
        <v>323</v>
      </c>
      <c r="X76" s="132" t="s">
        <v>329</v>
      </c>
      <c r="Y76" s="177"/>
      <c r="Z76" s="156" t="s">
        <v>486</v>
      </c>
      <c r="AD76" s="132" t="str">
        <v>Metals</v>
      </c>
    </row>
    <row r="77" spans="2:44" x14ac:dyDescent="0.35">
      <c r="B77" s="4" t="s">
        <v>81</v>
      </c>
      <c r="C77" s="4" t="s">
        <v>177</v>
      </c>
      <c r="D77" s="4" t="s">
        <v>181</v>
      </c>
      <c r="J77" s="1">
        <v>2011</v>
      </c>
      <c r="K77" s="1">
        <v>0.79</v>
      </c>
      <c r="L77" s="1" t="s">
        <v>401</v>
      </c>
      <c r="W77" s="132" t="s">
        <v>323</v>
      </c>
      <c r="X77" s="132" t="s">
        <v>330</v>
      </c>
      <c r="Y77" s="177"/>
      <c r="Z77" s="156" t="s">
        <v>486</v>
      </c>
      <c r="AD77" s="132" t="str">
        <v>Polymers (Plastics &amp; Bio-polymers)</v>
      </c>
    </row>
    <row r="78" spans="2:44" x14ac:dyDescent="0.35">
      <c r="B78" s="4" t="s">
        <v>81</v>
      </c>
      <c r="C78" s="4" t="s">
        <v>177</v>
      </c>
      <c r="D78" s="4" t="s">
        <v>182</v>
      </c>
      <c r="J78" s="1">
        <v>2012</v>
      </c>
      <c r="K78" s="1">
        <v>0.78</v>
      </c>
      <c r="L78" s="1" t="s">
        <v>401</v>
      </c>
      <c r="W78" s="132" t="s">
        <v>323</v>
      </c>
      <c r="X78" s="132" t="s">
        <v>331</v>
      </c>
      <c r="Y78" s="177"/>
      <c r="Z78" s="156" t="s">
        <v>486</v>
      </c>
      <c r="AD78" s="132" t="str">
        <v>Minerals &amp; Construction Materials</v>
      </c>
    </row>
    <row r="79" spans="2:44" x14ac:dyDescent="0.35">
      <c r="B79" s="4" t="s">
        <v>81</v>
      </c>
      <c r="C79" s="4" t="s">
        <v>177</v>
      </c>
      <c r="D79" s="4" t="s">
        <v>183</v>
      </c>
      <c r="J79" s="1">
        <v>2013</v>
      </c>
      <c r="K79" s="1">
        <v>0.82</v>
      </c>
      <c r="L79" s="1" t="s">
        <v>401</v>
      </c>
      <c r="W79" s="132" t="s">
        <v>323</v>
      </c>
      <c r="X79" s="132" t="s">
        <v>332</v>
      </c>
      <c r="Y79" s="177"/>
      <c r="Z79" s="156" t="s">
        <v>486</v>
      </c>
      <c r="AD79" s="132" t="str">
        <v>Chemicals &amp; Industrial Inputs</v>
      </c>
    </row>
    <row r="80" spans="2:44" x14ac:dyDescent="0.35">
      <c r="B80" s="4" t="s">
        <v>81</v>
      </c>
      <c r="C80" s="4" t="s">
        <v>177</v>
      </c>
      <c r="D80" s="4" t="s">
        <v>184</v>
      </c>
      <c r="J80" s="1">
        <v>2014</v>
      </c>
      <c r="K80" s="1">
        <v>0.82</v>
      </c>
      <c r="L80" s="1" t="s">
        <v>401</v>
      </c>
      <c r="W80" s="132" t="s">
        <v>323</v>
      </c>
      <c r="X80" s="132" t="s">
        <v>333</v>
      </c>
      <c r="Y80" s="177"/>
      <c r="Z80" s="156" t="s">
        <v>486</v>
      </c>
      <c r="AD80" s="132" t="str">
        <v>Electronics &amp; Energy Components</v>
      </c>
    </row>
    <row r="81" spans="2:47" x14ac:dyDescent="0.35">
      <c r="B81" s="4" t="s">
        <v>81</v>
      </c>
      <c r="C81" s="4" t="s">
        <v>185</v>
      </c>
      <c r="D81" s="4" t="s">
        <v>148</v>
      </c>
      <c r="J81" s="1">
        <v>2015</v>
      </c>
      <c r="K81" s="1">
        <v>0.83</v>
      </c>
      <c r="L81" s="1" t="s">
        <v>401</v>
      </c>
      <c r="W81" s="132" t="s">
        <v>323</v>
      </c>
      <c r="X81" s="132" t="s">
        <v>334</v>
      </c>
      <c r="Y81" s="177"/>
      <c r="Z81" s="156" t="s">
        <v>486</v>
      </c>
      <c r="AD81" s="132" t="str">
        <v>Fuels (Fossil &amp; Alternatives)</v>
      </c>
    </row>
    <row r="82" spans="2:47" x14ac:dyDescent="0.35">
      <c r="B82" s="4" t="s">
        <v>81</v>
      </c>
      <c r="C82" s="4" t="s">
        <v>185</v>
      </c>
      <c r="D82" s="4" t="s">
        <v>149</v>
      </c>
      <c r="J82" s="1">
        <v>2016</v>
      </c>
      <c r="K82" s="1">
        <v>0.82</v>
      </c>
      <c r="L82" s="1" t="s">
        <v>401</v>
      </c>
      <c r="W82" s="132" t="s">
        <v>323</v>
      </c>
      <c r="X82" s="132" t="s">
        <v>335</v>
      </c>
      <c r="Y82" s="177"/>
      <c r="Z82" s="156" t="s">
        <v>486</v>
      </c>
      <c r="AD82" s="132" t="str">
        <v>Textiles &amp; Fibres</v>
      </c>
    </row>
    <row r="83" spans="2:47" x14ac:dyDescent="0.35">
      <c r="B83" s="4" t="s">
        <v>81</v>
      </c>
      <c r="C83" s="4" t="s">
        <v>185</v>
      </c>
      <c r="D83" s="4" t="s">
        <v>186</v>
      </c>
      <c r="J83" s="1">
        <v>2017</v>
      </c>
      <c r="K83" s="1">
        <v>0.83</v>
      </c>
      <c r="L83" s="1" t="s">
        <v>401</v>
      </c>
      <c r="W83" s="132" t="s">
        <v>323</v>
      </c>
      <c r="X83" s="132" t="s">
        <v>336</v>
      </c>
      <c r="Y83" s="177"/>
      <c r="Z83" s="156" t="s">
        <v>486</v>
      </c>
      <c r="AD83" s="132" t="str">
        <v>Paper, Packaging &amp; Wood Products</v>
      </c>
    </row>
    <row r="84" spans="2:47" x14ac:dyDescent="0.35">
      <c r="B84" s="4" t="s">
        <v>81</v>
      </c>
      <c r="C84" s="4" t="s">
        <v>185</v>
      </c>
      <c r="D84" s="4" t="s">
        <v>187</v>
      </c>
      <c r="J84" s="1">
        <v>2018</v>
      </c>
      <c r="K84" s="1">
        <v>0.82</v>
      </c>
      <c r="L84" s="1" t="s">
        <v>401</v>
      </c>
      <c r="W84" s="132" t="s">
        <v>323</v>
      </c>
      <c r="X84" s="132" t="s">
        <v>337</v>
      </c>
      <c r="Y84" s="177"/>
      <c r="Z84" s="156" t="s">
        <v>486</v>
      </c>
      <c r="AD84" s="132" t="str">
        <v>Agrifood - Biomass &amp; Residues</v>
      </c>
    </row>
    <row r="85" spans="2:47" x14ac:dyDescent="0.35">
      <c r="B85" s="4" t="s">
        <v>81</v>
      </c>
      <c r="C85" s="4" t="s">
        <v>185</v>
      </c>
      <c r="D85" s="4" t="s">
        <v>188</v>
      </c>
      <c r="J85" s="1">
        <v>2019</v>
      </c>
      <c r="K85" s="1">
        <v>0.82</v>
      </c>
      <c r="L85" s="1" t="s">
        <v>401</v>
      </c>
      <c r="W85" s="132" t="s">
        <v>338</v>
      </c>
      <c r="X85" s="132" t="s">
        <v>38</v>
      </c>
      <c r="Y85" s="177"/>
      <c r="Z85" s="156" t="s">
        <v>486</v>
      </c>
      <c r="AD85" s="132" t="str">
        <v>Water</v>
      </c>
    </row>
    <row r="86" spans="2:47" x14ac:dyDescent="0.35">
      <c r="B86" s="4" t="s">
        <v>81</v>
      </c>
      <c r="C86" s="4" t="s">
        <v>189</v>
      </c>
      <c r="D86" s="4" t="s">
        <v>150</v>
      </c>
      <c r="F86" s="3"/>
      <c r="G86" s="3"/>
      <c r="J86" s="1">
        <v>2020</v>
      </c>
      <c r="K86" s="1">
        <v>0.79</v>
      </c>
      <c r="L86" s="1" t="s">
        <v>401</v>
      </c>
      <c r="W86" s="132" t="s">
        <v>338</v>
      </c>
      <c r="X86" s="132" t="s">
        <v>339</v>
      </c>
      <c r="Y86" s="177"/>
      <c r="Z86" s="156" t="s">
        <v>486</v>
      </c>
      <c r="AE86" s="3"/>
      <c r="AF86" s="3"/>
    </row>
    <row r="87" spans="2:47" x14ac:dyDescent="0.35">
      <c r="B87" s="4" t="s">
        <v>81</v>
      </c>
      <c r="C87" s="4" t="s">
        <v>189</v>
      </c>
      <c r="D87" s="4" t="s">
        <v>151</v>
      </c>
      <c r="J87" s="168">
        <v>2021</v>
      </c>
      <c r="K87" s="169">
        <v>0.69753857131867592</v>
      </c>
      <c r="L87" s="168" t="s">
        <v>401</v>
      </c>
      <c r="W87" s="132" t="s">
        <v>338</v>
      </c>
      <c r="X87" s="132" t="s">
        <v>269</v>
      </c>
      <c r="Y87" s="177"/>
      <c r="Z87" s="156" t="s">
        <v>486</v>
      </c>
      <c r="AE87" s="4"/>
      <c r="AF87" s="4"/>
    </row>
    <row r="88" spans="2:47" x14ac:dyDescent="0.35">
      <c r="B88" s="4" t="s">
        <v>81</v>
      </c>
      <c r="C88" s="4" t="s">
        <v>189</v>
      </c>
      <c r="D88" s="4" t="s">
        <v>152</v>
      </c>
      <c r="J88" s="1">
        <v>2022</v>
      </c>
      <c r="K88" s="170">
        <v>0.71135002859033591</v>
      </c>
      <c r="L88" s="1" t="s">
        <v>401</v>
      </c>
      <c r="W88" s="132" t="s">
        <v>338</v>
      </c>
      <c r="X88" s="132" t="s">
        <v>340</v>
      </c>
      <c r="Y88" s="177"/>
      <c r="Z88" s="156" t="s">
        <v>486</v>
      </c>
      <c r="AE88" s="4"/>
      <c r="AF88" s="4"/>
    </row>
    <row r="89" spans="2:47" x14ac:dyDescent="0.35">
      <c r="B89" s="4" t="s">
        <v>81</v>
      </c>
      <c r="C89" s="4" t="s">
        <v>189</v>
      </c>
      <c r="D89" s="4" t="s">
        <v>190</v>
      </c>
      <c r="J89" s="168">
        <v>2023</v>
      </c>
      <c r="K89" s="169">
        <v>0.71592315956460373</v>
      </c>
      <c r="L89" s="168" t="s">
        <v>401</v>
      </c>
      <c r="W89" s="132" t="s">
        <v>338</v>
      </c>
      <c r="X89" s="132" t="s">
        <v>39</v>
      </c>
      <c r="Y89" s="177"/>
      <c r="Z89" s="156" t="s">
        <v>486</v>
      </c>
      <c r="AD89" s="4"/>
      <c r="AE89" s="4"/>
      <c r="AF89" s="4"/>
    </row>
    <row r="90" spans="2:47" x14ac:dyDescent="0.35">
      <c r="B90" s="4" t="s">
        <v>81</v>
      </c>
      <c r="C90" s="4" t="s">
        <v>189</v>
      </c>
      <c r="D90" s="4" t="s">
        <v>191</v>
      </c>
      <c r="J90" s="1">
        <v>2024</v>
      </c>
      <c r="K90" s="171">
        <v>0.72730550536260297</v>
      </c>
      <c r="L90" s="1" t="s">
        <v>401</v>
      </c>
      <c r="W90" s="132" t="s">
        <v>338</v>
      </c>
      <c r="X90" s="132" t="s">
        <v>341</v>
      </c>
      <c r="Y90" s="177"/>
      <c r="Z90" s="156" t="s">
        <v>486</v>
      </c>
      <c r="AD90" s="4"/>
      <c r="AE90" s="4"/>
      <c r="AF90" s="4"/>
    </row>
    <row r="91" spans="2:47" x14ac:dyDescent="0.35">
      <c r="B91" s="4" t="s">
        <v>81</v>
      </c>
      <c r="C91" s="4" t="s">
        <v>189</v>
      </c>
      <c r="D91" s="4" t="s">
        <v>192</v>
      </c>
      <c r="J91" s="168">
        <v>2025</v>
      </c>
      <c r="K91" s="172">
        <v>0.709686968965208</v>
      </c>
      <c r="L91" s="168" t="s">
        <v>401</v>
      </c>
      <c r="V91" s="4"/>
      <c r="W91" s="132" t="s">
        <v>338</v>
      </c>
      <c r="X91" s="132" t="s">
        <v>342</v>
      </c>
      <c r="Y91" s="177"/>
      <c r="Z91" s="156" t="s">
        <v>486</v>
      </c>
      <c r="AD91" s="3">
        <v>6</v>
      </c>
      <c r="AE91" s="4"/>
      <c r="AF91" s="4"/>
      <c r="AO91" s="132" t="str" cm="1">
        <f t="array" ref="AO91:AO95">_xlfn.VSTACK(
  "Select Vehicle Category",
  _xlfn._xlws.SORT(
    _xlfn._xlws.FILTER(
      _xlfn.UNIQUE(Transport_table[Vehicle Category]),
      _xlfn.UNIQUE(Transport_table[Vehicle Category])&lt;&gt;"Select Vehicle Category"
    )
  )
)</f>
        <v>Select Vehicle Category</v>
      </c>
      <c r="AP91" s="132" t="str" cm="1">
        <f t="array" ref="AP91">IF(
  'Baseline Inventory'!C54="Select Vehicle Category",
  "Select Vehicle Type",
  _xlfn._xlws.SORT(
    _xlfn.UNIQUE(
      _xlfn._xlws.FILTER(
        Transport_table[Vehicle Type],
        Transport_table[Vehicle Category]='Baseline Inventory'!C54
      )
    )
  )
)</f>
        <v>Select Vehicle Type</v>
      </c>
      <c r="AQ91" s="4" t="str" cm="1">
        <f t="array" ref="AQ91">IF(
  OR(
    'Baseline Inventory'!C54="Select Vehicle Category",
    'Baseline Inventory'!D54="Select Vehicle Type"
  ),
  "Select Fuel Type",
  _xlfn._xlws.SORT(
    _xlfn._xlws.FILTER(
      Transport_table[Fuel Type],
      (Transport_table[Vehicle Type]='Baseline Inventory'!D54) *
      (Transport_table[Vehicle Category]='Baseline Inventory'!C54)
    )
  )
)</f>
        <v>Select Fuel Type</v>
      </c>
      <c r="AR91" s="132" t="str" cm="1">
        <f t="array" ref="AR91:AR95">_xlfn.UNIQUE(Transport_table[Vehicle Category])</f>
        <v>Select Vehicle Category</v>
      </c>
      <c r="AS91" s="132" t="str" cm="1">
        <f t="array" ref="AS91">_xlfn._xlws.SORT(
  _xlfn.UNIQUE(
    _xlfn._xlws.FILTER(
      Transport_table[Vehicle Type],Transport_table[Vehicle Category]='Annual (or) Project Inventory'!C54
    )
  )
)</f>
        <v>Select Vehicle Type</v>
      </c>
      <c r="AT91" s="4" t="str" cm="1">
        <f t="array" ref="AT91">_xlfn._xlws.SORT(_xlfn._xlws.FILTER(Transport_table[Fuel Type],(Transport_table[Vehicle Type]='Annual (or) Project Inventory'!D54)*(Transport_table[Vehicle Category]='Annual (or) Project Inventory'!C54)))</f>
        <v>Select Fuel Type</v>
      </c>
      <c r="AU91" s="4"/>
    </row>
    <row r="92" spans="2:47" x14ac:dyDescent="0.35">
      <c r="B92" s="4" t="s">
        <v>81</v>
      </c>
      <c r="C92" s="4" t="s">
        <v>189</v>
      </c>
      <c r="D92" s="4" t="s">
        <v>193</v>
      </c>
      <c r="J92" s="1">
        <v>2026</v>
      </c>
      <c r="K92" s="1"/>
      <c r="W92" s="132" t="s">
        <v>338</v>
      </c>
      <c r="X92" s="132" t="s">
        <v>37</v>
      </c>
      <c r="Y92" s="177"/>
      <c r="Z92" s="156" t="s">
        <v>486</v>
      </c>
      <c r="AD92" s="132" t="str" cm="1">
        <f t="array" ref="AD92:AD102">_xlfn.UNIQUE(Material_table[Material Type])</f>
        <v>Select Material Type</v>
      </c>
      <c r="AE92" s="132" t="str" cm="1">
        <f t="array" ref="AE92">_xlfn._xlws.SORT(
  _xlfn.UNIQUE(
    _xlfn._xlws.FILTER(
      Material_table[Material],
      Material_table[Material Type]='Baseline Inventory'!C18
    )
  )
)</f>
        <v>Select Material</v>
      </c>
      <c r="AF92" s="132" t="str" cm="1">
        <f t="array" ref="AF92">_xlfn._xlws.SORT(
  _xlfn.UNIQUE(
    _xlfn._xlws.FILTER(
      Material_table[Material],
      Material_table[Material Type]='Annual (or) Project Inventory'!C18
    )
  )
)</f>
        <v>Select Material</v>
      </c>
      <c r="AO92" s="132" t="str">
        <v>Heavy Goods Vehicles (HGVs)</v>
      </c>
      <c r="AR92" s="132" t="str">
        <v>Heavy Goods Vehicles (HGVs)</v>
      </c>
    </row>
    <row r="93" spans="2:47" x14ac:dyDescent="0.35">
      <c r="B93" s="4" t="s">
        <v>81</v>
      </c>
      <c r="C93" s="4" t="s">
        <v>189</v>
      </c>
      <c r="D93" s="4" t="s">
        <v>194</v>
      </c>
      <c r="J93" s="1">
        <v>2027</v>
      </c>
      <c r="K93" s="1"/>
      <c r="W93" s="132" t="s">
        <v>338</v>
      </c>
      <c r="X93" s="132" t="s">
        <v>343</v>
      </c>
      <c r="Y93" s="177"/>
      <c r="Z93" s="156" t="s">
        <v>486</v>
      </c>
      <c r="AD93" s="132" t="str">
        <v>Metals</v>
      </c>
      <c r="AO93" s="132" t="str">
        <v>HGV refrigerated</v>
      </c>
      <c r="AR93" s="132" t="str">
        <v>HGV refrigerated</v>
      </c>
    </row>
    <row r="94" spans="2:47" x14ac:dyDescent="0.35">
      <c r="B94" s="4" t="s">
        <v>81</v>
      </c>
      <c r="C94" s="4" t="s">
        <v>189</v>
      </c>
      <c r="D94" s="4" t="s">
        <v>195</v>
      </c>
      <c r="J94" s="1">
        <v>2028</v>
      </c>
      <c r="K94" s="1"/>
      <c r="W94" s="132" t="s">
        <v>338</v>
      </c>
      <c r="X94" s="132" t="s">
        <v>344</v>
      </c>
      <c r="Y94" s="177"/>
      <c r="Z94" s="156" t="s">
        <v>486</v>
      </c>
      <c r="AD94" s="132" t="str">
        <v>Polymers (Plastics &amp; Bio-polymers)</v>
      </c>
      <c r="AO94" s="132" t="str">
        <v>Passenger Cars</v>
      </c>
      <c r="AR94" s="132" t="str">
        <v>Vans</v>
      </c>
    </row>
    <row r="95" spans="2:47" x14ac:dyDescent="0.35">
      <c r="B95" s="4" t="s">
        <v>81</v>
      </c>
      <c r="C95" s="4" t="s">
        <v>189</v>
      </c>
      <c r="D95" s="4" t="s">
        <v>196</v>
      </c>
      <c r="J95" s="1">
        <v>2029</v>
      </c>
      <c r="K95" s="1"/>
      <c r="W95" s="132" t="s">
        <v>338</v>
      </c>
      <c r="X95" s="132" t="s">
        <v>345</v>
      </c>
      <c r="Y95" s="177"/>
      <c r="Z95" s="156" t="s">
        <v>486</v>
      </c>
      <c r="AD95" s="132" t="str">
        <v>Minerals &amp; Construction Materials</v>
      </c>
      <c r="AO95" s="132" t="str">
        <v>Vans</v>
      </c>
      <c r="AR95" s="132" t="str">
        <v>Passenger Cars</v>
      </c>
    </row>
    <row r="96" spans="2:47" x14ac:dyDescent="0.35">
      <c r="B96" s="4" t="s">
        <v>81</v>
      </c>
      <c r="C96" s="4" t="s">
        <v>189</v>
      </c>
      <c r="D96" s="4" t="s">
        <v>197</v>
      </c>
      <c r="J96" s="1">
        <v>2030</v>
      </c>
      <c r="K96" s="1"/>
      <c r="W96" s="132" t="s">
        <v>338</v>
      </c>
      <c r="X96" s="132" t="s">
        <v>346</v>
      </c>
      <c r="Y96" s="177"/>
      <c r="Z96" s="156" t="s">
        <v>486</v>
      </c>
      <c r="AD96" s="132" t="str">
        <v>Chemicals &amp; Industrial Inputs</v>
      </c>
    </row>
    <row r="97" spans="2:32" x14ac:dyDescent="0.35">
      <c r="B97" s="4" t="s">
        <v>81</v>
      </c>
      <c r="C97" s="4" t="s">
        <v>198</v>
      </c>
      <c r="D97" s="4" t="s">
        <v>199</v>
      </c>
      <c r="J97" s="1">
        <v>2031</v>
      </c>
      <c r="K97" s="1"/>
      <c r="W97" s="132" t="s">
        <v>338</v>
      </c>
      <c r="X97" s="132" t="s">
        <v>347</v>
      </c>
      <c r="Y97" s="177"/>
      <c r="Z97" s="156" t="s">
        <v>486</v>
      </c>
      <c r="AD97" s="132" t="str">
        <v>Electronics &amp; Energy Components</v>
      </c>
    </row>
    <row r="98" spans="2:32" x14ac:dyDescent="0.35">
      <c r="B98" s="4" t="s">
        <v>81</v>
      </c>
      <c r="C98" s="4" t="s">
        <v>198</v>
      </c>
      <c r="D98" s="4" t="s">
        <v>200</v>
      </c>
      <c r="J98" s="1">
        <v>2032</v>
      </c>
      <c r="K98" s="1"/>
      <c r="W98" s="132" t="s">
        <v>348</v>
      </c>
      <c r="X98" s="132" t="s">
        <v>349</v>
      </c>
      <c r="Y98" s="177"/>
      <c r="Z98" s="156" t="s">
        <v>486</v>
      </c>
      <c r="AD98" s="132" t="str">
        <v>Fuels (Fossil &amp; Alternatives)</v>
      </c>
    </row>
    <row r="99" spans="2:32" x14ac:dyDescent="0.35">
      <c r="B99" s="4" t="s">
        <v>81</v>
      </c>
      <c r="C99" s="4" t="s">
        <v>198</v>
      </c>
      <c r="D99" s="4" t="s">
        <v>201</v>
      </c>
      <c r="J99" s="1">
        <v>2033</v>
      </c>
      <c r="K99" s="1"/>
      <c r="W99" s="132" t="s">
        <v>348</v>
      </c>
      <c r="X99" s="132" t="s">
        <v>350</v>
      </c>
      <c r="Y99" s="177"/>
      <c r="Z99" s="156" t="s">
        <v>486</v>
      </c>
      <c r="AD99" s="132" t="str">
        <v>Textiles &amp; Fibres</v>
      </c>
    </row>
    <row r="100" spans="2:32" x14ac:dyDescent="0.35">
      <c r="B100" s="4" t="s">
        <v>81</v>
      </c>
      <c r="C100" s="4" t="s">
        <v>198</v>
      </c>
      <c r="D100" s="4" t="s">
        <v>202</v>
      </c>
      <c r="J100" s="1">
        <v>2034</v>
      </c>
      <c r="K100" s="1"/>
      <c r="W100" s="132" t="s">
        <v>348</v>
      </c>
      <c r="X100" s="132" t="s">
        <v>351</v>
      </c>
      <c r="Y100" s="177"/>
      <c r="Z100" s="156" t="s">
        <v>486</v>
      </c>
      <c r="AD100" s="132" t="str">
        <v>Paper, Packaging &amp; Wood Products</v>
      </c>
    </row>
    <row r="101" spans="2:32" x14ac:dyDescent="0.35">
      <c r="B101" s="4" t="s">
        <v>81</v>
      </c>
      <c r="C101" s="4" t="s">
        <v>198</v>
      </c>
      <c r="D101" s="4" t="s">
        <v>203</v>
      </c>
      <c r="J101" s="1">
        <v>2035</v>
      </c>
      <c r="K101" s="1"/>
      <c r="W101" s="132" t="s">
        <v>348</v>
      </c>
      <c r="X101" s="132" t="s">
        <v>352</v>
      </c>
      <c r="Y101" s="177"/>
      <c r="Z101" s="156" t="s">
        <v>486</v>
      </c>
      <c r="AD101" s="132" t="str">
        <v>Agrifood - Biomass &amp; Residues</v>
      </c>
    </row>
    <row r="102" spans="2:32" x14ac:dyDescent="0.35">
      <c r="B102" s="4" t="s">
        <v>81</v>
      </c>
      <c r="C102" s="4" t="s">
        <v>198</v>
      </c>
      <c r="D102" s="4" t="s">
        <v>204</v>
      </c>
      <c r="J102" s="1">
        <v>2036</v>
      </c>
      <c r="K102" s="1"/>
      <c r="W102" s="132" t="s">
        <v>348</v>
      </c>
      <c r="X102" s="132" t="s">
        <v>353</v>
      </c>
      <c r="Y102" s="177"/>
      <c r="Z102" s="156" t="s">
        <v>486</v>
      </c>
      <c r="AD102" s="132" t="str">
        <v>Water</v>
      </c>
    </row>
    <row r="103" spans="2:32" x14ac:dyDescent="0.35">
      <c r="B103" s="4" t="s">
        <v>81</v>
      </c>
      <c r="C103" s="4" t="s">
        <v>198</v>
      </c>
      <c r="D103" s="4" t="s">
        <v>205</v>
      </c>
      <c r="J103" s="1">
        <v>2037</v>
      </c>
      <c r="K103" s="1"/>
      <c r="W103" s="132" t="s">
        <v>348</v>
      </c>
      <c r="X103" s="132" t="s">
        <v>354</v>
      </c>
      <c r="Y103" s="177"/>
      <c r="Z103" s="156" t="s">
        <v>486</v>
      </c>
      <c r="AE103" s="3"/>
      <c r="AF103" s="3"/>
    </row>
    <row r="104" spans="2:32" x14ac:dyDescent="0.35">
      <c r="B104" s="4" t="s">
        <v>81</v>
      </c>
      <c r="C104" s="4" t="s">
        <v>198</v>
      </c>
      <c r="D104" s="4" t="s">
        <v>206</v>
      </c>
      <c r="J104" s="1">
        <v>2038</v>
      </c>
      <c r="K104" s="1"/>
      <c r="W104" s="132" t="s">
        <v>348</v>
      </c>
      <c r="X104" s="132" t="s">
        <v>355</v>
      </c>
      <c r="Y104" s="177"/>
      <c r="Z104" s="156" t="s">
        <v>486</v>
      </c>
      <c r="AE104" s="4"/>
      <c r="AF104" s="4"/>
    </row>
    <row r="105" spans="2:32" x14ac:dyDescent="0.35">
      <c r="B105" s="4" t="s">
        <v>81</v>
      </c>
      <c r="C105" s="4" t="s">
        <v>198</v>
      </c>
      <c r="D105" s="4" t="s">
        <v>207</v>
      </c>
      <c r="J105" s="1">
        <v>2039</v>
      </c>
      <c r="K105" s="1"/>
      <c r="W105" s="132" t="s">
        <v>348</v>
      </c>
      <c r="X105" s="132" t="s">
        <v>356</v>
      </c>
      <c r="Y105" s="177"/>
      <c r="Z105" s="156" t="s">
        <v>486</v>
      </c>
      <c r="AE105" s="4"/>
      <c r="AF105" s="4"/>
    </row>
    <row r="106" spans="2:32" x14ac:dyDescent="0.35">
      <c r="B106" s="4" t="s">
        <v>81</v>
      </c>
      <c r="C106" s="4" t="s">
        <v>198</v>
      </c>
      <c r="D106" s="4" t="s">
        <v>208</v>
      </c>
      <c r="J106" s="1">
        <v>2040</v>
      </c>
      <c r="K106" s="1"/>
      <c r="W106" s="132" t="s">
        <v>348</v>
      </c>
      <c r="X106" s="132" t="s">
        <v>357</v>
      </c>
      <c r="Y106" s="177"/>
      <c r="Z106" s="156" t="s">
        <v>486</v>
      </c>
      <c r="AD106" s="4"/>
      <c r="AE106" s="4"/>
      <c r="AF106" s="4"/>
    </row>
    <row r="107" spans="2:32" x14ac:dyDescent="0.35">
      <c r="B107" s="4" t="s">
        <v>81</v>
      </c>
      <c r="C107" s="4" t="s">
        <v>198</v>
      </c>
      <c r="D107" s="4" t="s">
        <v>209</v>
      </c>
      <c r="J107" s="1">
        <v>2041</v>
      </c>
      <c r="K107" s="1"/>
      <c r="W107" s="132" t="s">
        <v>348</v>
      </c>
      <c r="X107" s="132" t="s">
        <v>358</v>
      </c>
      <c r="Y107" s="177"/>
      <c r="Z107" s="156" t="s">
        <v>486</v>
      </c>
      <c r="AD107" s="4"/>
      <c r="AE107" s="4"/>
      <c r="AF107" s="4"/>
    </row>
    <row r="108" spans="2:32" x14ac:dyDescent="0.35">
      <c r="B108" s="4" t="s">
        <v>81</v>
      </c>
      <c r="C108" s="4" t="s">
        <v>198</v>
      </c>
      <c r="D108" s="4" t="s">
        <v>210</v>
      </c>
      <c r="J108" s="1">
        <v>2042</v>
      </c>
      <c r="K108" s="1"/>
      <c r="W108" s="132" t="s">
        <v>348</v>
      </c>
      <c r="X108" s="132" t="s">
        <v>359</v>
      </c>
      <c r="Y108" s="177"/>
      <c r="Z108" s="156" t="s">
        <v>486</v>
      </c>
      <c r="AD108" s="3">
        <v>7</v>
      </c>
      <c r="AE108" s="4"/>
      <c r="AF108" s="4"/>
    </row>
    <row r="109" spans="2:32" x14ac:dyDescent="0.35">
      <c r="B109" s="4" t="s">
        <v>81</v>
      </c>
      <c r="C109" s="4" t="s">
        <v>198</v>
      </c>
      <c r="D109" s="4" t="s">
        <v>211</v>
      </c>
      <c r="J109" s="1">
        <v>2043</v>
      </c>
      <c r="K109" s="1"/>
      <c r="W109" s="132" t="s">
        <v>348</v>
      </c>
      <c r="X109" s="132" t="s">
        <v>360</v>
      </c>
      <c r="Y109" s="177"/>
      <c r="Z109" s="156" t="s">
        <v>486</v>
      </c>
      <c r="AD109" s="132" t="str" cm="1">
        <f t="array" ref="AD109:AD119">_xlfn.UNIQUE(Material_table[Material Type])</f>
        <v>Select Material Type</v>
      </c>
      <c r="AE109" s="132" t="str" cm="1">
        <f t="array" ref="AE109">_xlfn._xlws.SORT(
  _xlfn.UNIQUE(
    _xlfn._xlws.FILTER(
      Material_table[Material],
      Material_table[Material Type]='Baseline Inventory'!C19
    )
  )
)</f>
        <v>Select Material</v>
      </c>
      <c r="AF109" s="132" t="str" cm="1">
        <f t="array" ref="AF109">_xlfn._xlws.SORT(
  _xlfn.UNIQUE(
    _xlfn._xlws.FILTER(
      Material_table[Material],
      Material_table[Material Type]='Annual (or) Project Inventory'!C19
    )
  )
)</f>
        <v>Select Material</v>
      </c>
    </row>
    <row r="110" spans="2:32" x14ac:dyDescent="0.35">
      <c r="B110" s="4" t="s">
        <v>81</v>
      </c>
      <c r="C110" s="4" t="s">
        <v>198</v>
      </c>
      <c r="D110" s="4" t="s">
        <v>212</v>
      </c>
      <c r="J110" s="1">
        <v>2044</v>
      </c>
      <c r="K110" s="1"/>
      <c r="W110" s="132" t="s">
        <v>348</v>
      </c>
      <c r="X110" s="132" t="s">
        <v>361</v>
      </c>
      <c r="Y110" s="177"/>
      <c r="Z110" s="156" t="s">
        <v>486</v>
      </c>
      <c r="AD110" s="132" t="str">
        <v>Metals</v>
      </c>
    </row>
    <row r="111" spans="2:32" x14ac:dyDescent="0.35">
      <c r="B111" s="4" t="s">
        <v>82</v>
      </c>
      <c r="C111" s="4" t="s">
        <v>213</v>
      </c>
      <c r="D111" s="4" t="s">
        <v>158</v>
      </c>
      <c r="J111" s="1">
        <v>2045</v>
      </c>
      <c r="K111" s="1"/>
      <c r="W111" s="132" t="s">
        <v>362</v>
      </c>
      <c r="X111" s="132" t="s">
        <v>363</v>
      </c>
      <c r="Y111" s="177">
        <v>1.345</v>
      </c>
      <c r="Z111" s="156" t="s">
        <v>486</v>
      </c>
      <c r="AA111" s="1" t="s">
        <v>439</v>
      </c>
      <c r="AD111" s="132" t="str">
        <v>Polymers (Plastics &amp; Bio-polymers)</v>
      </c>
    </row>
    <row r="112" spans="2:32" x14ac:dyDescent="0.35">
      <c r="B112" s="4" t="s">
        <v>82</v>
      </c>
      <c r="C112" s="4" t="s">
        <v>213</v>
      </c>
      <c r="D112" s="4" t="s">
        <v>214</v>
      </c>
      <c r="J112" s="1">
        <v>2046</v>
      </c>
      <c r="K112" s="1"/>
      <c r="W112" s="132" t="s">
        <v>362</v>
      </c>
      <c r="X112" s="132" t="s">
        <v>364</v>
      </c>
      <c r="Y112" s="177"/>
      <c r="Z112" s="156" t="s">
        <v>486</v>
      </c>
      <c r="AD112" s="132" t="str">
        <v>Minerals &amp; Construction Materials</v>
      </c>
    </row>
    <row r="113" spans="2:47" x14ac:dyDescent="0.35">
      <c r="B113" s="4" t="s">
        <v>82</v>
      </c>
      <c r="C113" s="4" t="s">
        <v>213</v>
      </c>
      <c r="D113" s="4" t="s">
        <v>215</v>
      </c>
      <c r="J113" s="1">
        <v>2047</v>
      </c>
      <c r="K113" s="1"/>
      <c r="W113" s="132" t="s">
        <v>362</v>
      </c>
      <c r="X113" s="132" t="s">
        <v>365</v>
      </c>
      <c r="Y113" s="177"/>
      <c r="Z113" s="156" t="s">
        <v>486</v>
      </c>
      <c r="AD113" s="132" t="str">
        <v>Chemicals &amp; Industrial Inputs</v>
      </c>
    </row>
    <row r="114" spans="2:47" x14ac:dyDescent="0.35">
      <c r="B114" s="4" t="s">
        <v>82</v>
      </c>
      <c r="C114" s="4" t="s">
        <v>213</v>
      </c>
      <c r="D114" s="4" t="s">
        <v>216</v>
      </c>
      <c r="J114" s="1">
        <v>2048</v>
      </c>
      <c r="K114" s="1"/>
      <c r="W114" s="132" t="s">
        <v>362</v>
      </c>
      <c r="X114" s="132" t="s">
        <v>366</v>
      </c>
      <c r="Y114" s="177">
        <v>1.1997</v>
      </c>
      <c r="Z114" s="156" t="s">
        <v>486</v>
      </c>
      <c r="AA114" s="1" t="s">
        <v>439</v>
      </c>
      <c r="AD114" s="132" t="str">
        <v>Electronics &amp; Energy Components</v>
      </c>
    </row>
    <row r="115" spans="2:47" x14ac:dyDescent="0.35">
      <c r="B115" s="4" t="s">
        <v>82</v>
      </c>
      <c r="C115" s="4" t="s">
        <v>213</v>
      </c>
      <c r="D115" s="4" t="s">
        <v>217</v>
      </c>
      <c r="J115" s="1">
        <v>2049</v>
      </c>
      <c r="K115" s="1"/>
      <c r="W115" s="132" t="s">
        <v>362</v>
      </c>
      <c r="X115" s="132" t="s">
        <v>367</v>
      </c>
      <c r="Y115" s="177">
        <v>1.288</v>
      </c>
      <c r="Z115" s="156" t="s">
        <v>486</v>
      </c>
      <c r="AA115" s="1" t="s">
        <v>439</v>
      </c>
      <c r="AD115" s="132" t="str">
        <v>Fuels (Fossil &amp; Alternatives)</v>
      </c>
    </row>
    <row r="116" spans="2:47" x14ac:dyDescent="0.35">
      <c r="B116" s="4" t="s">
        <v>82</v>
      </c>
      <c r="C116" s="4" t="s">
        <v>213</v>
      </c>
      <c r="D116" s="4" t="s">
        <v>218</v>
      </c>
      <c r="J116" s="1">
        <v>2050</v>
      </c>
      <c r="K116" s="1"/>
      <c r="W116" s="132" t="s">
        <v>362</v>
      </c>
      <c r="X116" s="132" t="s">
        <v>368</v>
      </c>
      <c r="Y116" s="177"/>
      <c r="Z116" s="156" t="s">
        <v>486</v>
      </c>
      <c r="AD116" s="132" t="str">
        <v>Textiles &amp; Fibres</v>
      </c>
    </row>
    <row r="117" spans="2:47" x14ac:dyDescent="0.35">
      <c r="B117" s="4" t="s">
        <v>82</v>
      </c>
      <c r="C117" s="4" t="s">
        <v>213</v>
      </c>
      <c r="D117" s="4" t="s">
        <v>219</v>
      </c>
      <c r="W117" s="132" t="s">
        <v>362</v>
      </c>
      <c r="X117" s="132" t="s">
        <v>369</v>
      </c>
      <c r="Y117" s="177"/>
      <c r="Z117" s="156" t="s">
        <v>486</v>
      </c>
      <c r="AD117" s="132" t="str">
        <v>Paper, Packaging &amp; Wood Products</v>
      </c>
    </row>
    <row r="118" spans="2:47" x14ac:dyDescent="0.35">
      <c r="B118" s="4" t="s">
        <v>82</v>
      </c>
      <c r="C118" s="4" t="s">
        <v>220</v>
      </c>
      <c r="D118" s="4" t="s">
        <v>153</v>
      </c>
      <c r="W118" s="132" t="s">
        <v>362</v>
      </c>
      <c r="X118" s="132" t="s">
        <v>370</v>
      </c>
      <c r="Y118" s="177"/>
      <c r="Z118" s="156" t="s">
        <v>486</v>
      </c>
      <c r="AD118" s="132" t="str">
        <v>Agrifood - Biomass &amp; Residues</v>
      </c>
    </row>
    <row r="119" spans="2:47" x14ac:dyDescent="0.35">
      <c r="B119" s="4" t="s">
        <v>82</v>
      </c>
      <c r="C119" s="4" t="s">
        <v>220</v>
      </c>
      <c r="D119" s="4" t="s">
        <v>154</v>
      </c>
      <c r="V119" s="4"/>
      <c r="W119" s="132" t="s">
        <v>362</v>
      </c>
      <c r="X119" s="132" t="s">
        <v>371</v>
      </c>
      <c r="Y119" s="177"/>
      <c r="Z119" s="156" t="s">
        <v>486</v>
      </c>
      <c r="AD119" s="132" t="str">
        <v>Water</v>
      </c>
      <c r="AO119" s="132" t="str" cm="1">
        <f t="array" ref="AO119:AO123">_xlfn.VSTACK(
  "Select Vehicle Category",
  _xlfn._xlws.SORT(
    _xlfn._xlws.FILTER(
      _xlfn.UNIQUE(Transport_table[Vehicle Category]),
      _xlfn.UNIQUE(Transport_table[Vehicle Category])&lt;&gt;"Select Vehicle Category"
    )
  )
)</f>
        <v>Select Vehicle Category</v>
      </c>
      <c r="AP119" s="132" t="str" cm="1">
        <f t="array" ref="AP119">IF(
  'Baseline Inventory'!C55="Select Vehicle Category",
  "Select Vehicle Type",
  _xlfn._xlws.SORT(
    _xlfn.UNIQUE(
      _xlfn._xlws.FILTER(
        Transport_table[Vehicle Type],
        Transport_table[Vehicle Category]='Baseline Inventory'!C55
      )
    )
  )
)</f>
        <v>Select Vehicle Type</v>
      </c>
      <c r="AQ119" s="4" t="str" cm="1">
        <f t="array" ref="AQ119">IF(
  OR(
    'Baseline Inventory'!C55="Select Vehicle Category",
    'Baseline Inventory'!D55="Select Vehicle Type"
  ),
  "Select Fuel Type",
  _xlfn._xlws.SORT(
    _xlfn._xlws.FILTER(
      Transport_table[Fuel Type],
      (Transport_table[Vehicle Type]='Baseline Inventory'!D55) *
      (Transport_table[Vehicle Category]='Baseline Inventory'!C55)
    )
  )
)</f>
        <v>Select Fuel Type</v>
      </c>
      <c r="AR119" s="132" t="str" cm="1">
        <f t="array" ref="AR119:AR123">_xlfn.UNIQUE(Transport_table[Vehicle Category])</f>
        <v>Select Vehicle Category</v>
      </c>
      <c r="AS119" s="132" t="str" cm="1">
        <f t="array" ref="AS119">_xlfn._xlws.SORT(
  _xlfn.UNIQUE(
    _xlfn._xlws.FILTER(
      Transport_table[Vehicle Type],Transport_table[Vehicle Category]='Annual (or) Project Inventory'!C55
    )
  )
)</f>
        <v>Select Vehicle Type</v>
      </c>
      <c r="AT119" s="4" t="str" cm="1">
        <f t="array" ref="AT119">_xlfn._xlws.SORT(_xlfn._xlws.FILTER(Transport_table[Fuel Type],(Transport_table[Vehicle Type]='Annual (or) Project Inventory'!D55)*(Transport_table[Vehicle Category]='Annual (or) Project Inventory'!C55)))</f>
        <v>Select Fuel Type</v>
      </c>
      <c r="AU119" s="4"/>
    </row>
    <row r="120" spans="2:47" x14ac:dyDescent="0.35">
      <c r="B120" s="4" t="s">
        <v>82</v>
      </c>
      <c r="C120" s="4" t="s">
        <v>220</v>
      </c>
      <c r="D120" s="4" t="s">
        <v>155</v>
      </c>
      <c r="W120" s="132" t="s">
        <v>362</v>
      </c>
      <c r="X120" s="132" t="s">
        <v>372</v>
      </c>
      <c r="Y120" s="177"/>
      <c r="Z120" s="156" t="s">
        <v>486</v>
      </c>
      <c r="AC120" s="132" t="str" cm="1">
        <f t="array" ref="AC120:AC137">_xlfn.UNIQUE(_xlfn.VSTACK(X5, X121:X137))</f>
        <v>Select Material</v>
      </c>
      <c r="AE120" s="3"/>
      <c r="AF120" s="3"/>
      <c r="AO120" s="132" t="str">
        <v>Heavy Goods Vehicles (HGVs)</v>
      </c>
      <c r="AR120" s="132" t="str">
        <v>Heavy Goods Vehicles (HGVs)</v>
      </c>
    </row>
    <row r="121" spans="2:47" x14ac:dyDescent="0.35">
      <c r="B121" s="4" t="s">
        <v>82</v>
      </c>
      <c r="C121" s="4" t="s">
        <v>220</v>
      </c>
      <c r="D121" s="4" t="s">
        <v>221</v>
      </c>
      <c r="P121" s="346" t="s">
        <v>476</v>
      </c>
      <c r="Q121" s="346"/>
      <c r="R121" s="346"/>
      <c r="W121" s="132" t="s">
        <v>478</v>
      </c>
      <c r="X121" s="132" t="s">
        <v>263</v>
      </c>
      <c r="Y121" s="177" t="str">
        <f>IFERROR(
  INDEX('Project Description'!$G$39:$G$43,
        MATCH($X121,'Project Description'!$B$39:$B$43,0)
  ),
  ""
)</f>
        <v/>
      </c>
      <c r="Z121" s="156" t="s">
        <v>486</v>
      </c>
      <c r="AA121" s="1" t="s">
        <v>482</v>
      </c>
      <c r="AC121" s="132" t="str">
        <v>Rice husk</v>
      </c>
      <c r="AE121" s="4"/>
      <c r="AF121" s="4"/>
      <c r="AO121" s="132" t="str">
        <v>HGV refrigerated</v>
      </c>
      <c r="AR121" s="132" t="str">
        <v>HGV refrigerated</v>
      </c>
    </row>
    <row r="122" spans="2:47" x14ac:dyDescent="0.35">
      <c r="B122" s="4" t="s">
        <v>82</v>
      </c>
      <c r="C122" s="4" t="s">
        <v>220</v>
      </c>
      <c r="D122" s="4" t="s">
        <v>222</v>
      </c>
      <c r="P122" s="11" t="s">
        <v>402</v>
      </c>
      <c r="Q122" s="173" t="s">
        <v>647</v>
      </c>
      <c r="R122" s="174" t="s">
        <v>23</v>
      </c>
      <c r="W122" s="132" t="s">
        <v>478</v>
      </c>
      <c r="X122" s="132" t="s">
        <v>293</v>
      </c>
      <c r="Y122" s="177" t="str">
        <f>IFERROR(
  INDEX('Project Description'!$G$39:$G$43,
        MATCH($X122,'Project Description'!$B$39:$B$43,0)
  ),
  ""
)</f>
        <v/>
      </c>
      <c r="Z122" s="156" t="s">
        <v>486</v>
      </c>
      <c r="AA122" s="1" t="s">
        <v>482</v>
      </c>
      <c r="AC122" s="132" t="str">
        <v>Rice straw</v>
      </c>
      <c r="AE122" s="4"/>
      <c r="AF122" s="4"/>
      <c r="AO122" s="132" t="str">
        <v>Passenger Cars</v>
      </c>
      <c r="AR122" s="132" t="str">
        <v>Vans</v>
      </c>
    </row>
    <row r="123" spans="2:47" x14ac:dyDescent="0.35">
      <c r="B123" s="4" t="s">
        <v>82</v>
      </c>
      <c r="C123" s="4" t="s">
        <v>220</v>
      </c>
      <c r="D123" s="4" t="s">
        <v>223</v>
      </c>
      <c r="P123" s="132" t="s">
        <v>25</v>
      </c>
      <c r="Q123" s="175">
        <v>0</v>
      </c>
      <c r="R123" s="1">
        <v>0</v>
      </c>
      <c r="T123" s="176" t="str" cm="1">
        <f t="array" ref="T123:T139">_xlfn.UNIQUE(_xlfn.VSTACK(FtG_table[[#This Row],[Fuel]], P128:P143))</f>
        <v>Select Option</v>
      </c>
      <c r="W123" s="132" t="s">
        <v>478</v>
      </c>
      <c r="X123" s="132" t="s">
        <v>264</v>
      </c>
      <c r="Y123" s="177" t="str">
        <f>IFERROR(
  INDEX('Project Description'!$G$39:$G$43,
        MATCH($X123,'Project Description'!$B$39:$B$43,0)
  ),
  ""
)</f>
        <v/>
      </c>
      <c r="Z123" s="156" t="s">
        <v>486</v>
      </c>
      <c r="AA123" s="1" t="s">
        <v>482</v>
      </c>
      <c r="AC123" s="132" t="str">
        <v>Bagasse</v>
      </c>
      <c r="AD123" s="4"/>
      <c r="AE123" s="4"/>
      <c r="AF123" s="4"/>
      <c r="AO123" s="132" t="str">
        <v>Vans</v>
      </c>
      <c r="AR123" s="132" t="str">
        <v>Passenger Cars</v>
      </c>
    </row>
    <row r="124" spans="2:47" x14ac:dyDescent="0.35">
      <c r="B124" s="4" t="s">
        <v>82</v>
      </c>
      <c r="C124" s="4" t="s">
        <v>220</v>
      </c>
      <c r="D124" s="4" t="s">
        <v>224</v>
      </c>
      <c r="P124" s="132" t="s">
        <v>473</v>
      </c>
      <c r="Q124" s="1">
        <v>0</v>
      </c>
      <c r="R124" s="1" t="s">
        <v>642</v>
      </c>
      <c r="T124" s="132" t="str">
        <v>HGVs - Rigid (&gt;3.5 - 7.5 tonnes)</v>
      </c>
      <c r="W124" s="132" t="s">
        <v>478</v>
      </c>
      <c r="X124" s="132" t="s">
        <v>294</v>
      </c>
      <c r="Y124" s="177" t="str">
        <f>IFERROR(
  INDEX('Project Description'!$G$39:$G$43,
        MATCH($X124,'Project Description'!$B$39:$B$43,0)
  ),
  ""
)</f>
        <v/>
      </c>
      <c r="Z124" s="156" t="s">
        <v>486</v>
      </c>
      <c r="AA124" s="1" t="s">
        <v>482</v>
      </c>
      <c r="AC124" s="132" t="str">
        <v>Wheat straw</v>
      </c>
      <c r="AD124" s="4"/>
      <c r="AE124" s="4"/>
      <c r="AF124" s="4"/>
    </row>
    <row r="125" spans="2:47" x14ac:dyDescent="0.35">
      <c r="B125" s="4" t="s">
        <v>82</v>
      </c>
      <c r="C125" s="4" t="s">
        <v>225</v>
      </c>
      <c r="D125" s="4" t="s">
        <v>156</v>
      </c>
      <c r="P125" s="163" t="s">
        <v>423</v>
      </c>
      <c r="Q125" s="165">
        <f>Q18</f>
        <v>0.79607216935205727</v>
      </c>
      <c r="R125" s="164" t="s">
        <v>471</v>
      </c>
      <c r="T125" s="132" t="str">
        <v>HGVs - Rigid (&gt;7.5 tonnes-17 tonnes)</v>
      </c>
      <c r="W125" s="132" t="s">
        <v>478</v>
      </c>
      <c r="X125" s="132" t="s">
        <v>295</v>
      </c>
      <c r="Y125" s="177" t="str">
        <f>IFERROR(
  INDEX('Project Description'!$G$39:$G$43,
        MATCH($X125,'Project Description'!$B$39:$B$43,0)
  ),
  ""
)</f>
        <v/>
      </c>
      <c r="Z125" s="156" t="s">
        <v>486</v>
      </c>
      <c r="AA125" s="1" t="s">
        <v>482</v>
      </c>
      <c r="AC125" s="132" t="str">
        <v>Corn stover</v>
      </c>
    </row>
    <row r="126" spans="2:47" x14ac:dyDescent="0.35">
      <c r="B126" s="4" t="s">
        <v>82</v>
      </c>
      <c r="C126" s="4" t="s">
        <v>225</v>
      </c>
      <c r="D126" s="4" t="s">
        <v>157</v>
      </c>
      <c r="P126" s="163" t="s">
        <v>382</v>
      </c>
      <c r="Q126" s="165">
        <f>Q31</f>
        <v>0.25041367999999997</v>
      </c>
      <c r="R126" s="164" t="s">
        <v>471</v>
      </c>
      <c r="T126" s="132" t="str">
        <v>HGVs - Rigid (&gt;17 tonnes)</v>
      </c>
      <c r="W126" s="132" t="s">
        <v>478</v>
      </c>
      <c r="X126" s="132" t="s">
        <v>296</v>
      </c>
      <c r="Y126" s="177" t="str">
        <f>IFERROR(
  INDEX('Project Description'!$G$39:$G$43,
        MATCH($X126,'Project Description'!$B$39:$B$43,0)
  ),
  ""
)</f>
        <v/>
      </c>
      <c r="Z126" s="156" t="s">
        <v>486</v>
      </c>
      <c r="AA126" s="1" t="s">
        <v>482</v>
      </c>
      <c r="AC126" s="132" t="str">
        <v>Wood (hardwood)</v>
      </c>
      <c r="AD126" s="3">
        <v>8</v>
      </c>
      <c r="AE126" s="4"/>
      <c r="AF126" s="4"/>
    </row>
    <row r="127" spans="2:47" x14ac:dyDescent="0.35">
      <c r="B127" s="4" t="s">
        <v>82</v>
      </c>
      <c r="C127" s="4" t="s">
        <v>225</v>
      </c>
      <c r="D127" s="4" t="s">
        <v>226</v>
      </c>
      <c r="P127" s="132" t="s">
        <v>38</v>
      </c>
      <c r="Q127" s="177">
        <f>Q33</f>
        <v>0.27133491999999998</v>
      </c>
      <c r="R127" s="1" t="s">
        <v>642</v>
      </c>
      <c r="T127" s="132" t="str">
        <v>HGVs - All rigids</v>
      </c>
      <c r="W127" s="132" t="s">
        <v>478</v>
      </c>
      <c r="X127" s="132" t="s">
        <v>297</v>
      </c>
      <c r="Y127" s="177" t="str">
        <f>IFERROR(
  INDEX('Project Description'!$G$39:$G$43,
        MATCH($X127,'Project Description'!$B$39:$B$43,0)
  ),
  ""
)</f>
        <v/>
      </c>
      <c r="Z127" s="156" t="s">
        <v>486</v>
      </c>
      <c r="AA127" s="1" t="s">
        <v>482</v>
      </c>
      <c r="AC127" s="132" t="str">
        <v>Wood (softwood)</v>
      </c>
      <c r="AD127" s="132" t="str" cm="1">
        <f t="array" ref="AD127:AD137">_xlfn.UNIQUE(Material_table[Material Type])</f>
        <v>Select Material Type</v>
      </c>
      <c r="AE127" s="132" t="str" cm="1">
        <f t="array" ref="AE127">_xlfn._xlws.SORT(
  _xlfn.UNIQUE(
    _xlfn._xlws.FILTER(
      Material_table[Material],
      Material_table[Material Type]='Baseline Inventory'!C20
    )
  )
)</f>
        <v>Select Material</v>
      </c>
      <c r="AF127" s="132" t="str" cm="1">
        <f t="array" ref="AF127">_xlfn._xlws.SORT(
  _xlfn.UNIQUE(
    _xlfn._xlws.FILTER(
      Material_table[Material],
      Material_table[Material Type]='Annual (or) Project Inventory'!C20
    )
  )
)</f>
        <v>Select Material</v>
      </c>
    </row>
    <row r="128" spans="2:47" x14ac:dyDescent="0.35">
      <c r="B128" s="4" t="s">
        <v>82</v>
      </c>
      <c r="C128" s="4" t="s">
        <v>225</v>
      </c>
      <c r="D128" s="4" t="s">
        <v>227</v>
      </c>
      <c r="P128" s="313" t="s">
        <v>800</v>
      </c>
      <c r="Q128" s="311">
        <v>0.52761000000000002</v>
      </c>
      <c r="R128" s="312" t="s">
        <v>798</v>
      </c>
      <c r="T128" s="132" t="str">
        <v>HGVs - Articulated (&gt;3.5 - 33t)</v>
      </c>
      <c r="W128" s="132" t="s">
        <v>478</v>
      </c>
      <c r="X128" s="132" t="s">
        <v>298</v>
      </c>
      <c r="Y128" s="177" t="str">
        <f>IFERROR(
  INDEX('Project Description'!$G$39:$G$43,
        MATCH($X128,'Project Description'!$B$39:$B$43,0)
  ),
  ""
)</f>
        <v/>
      </c>
      <c r="Z128" s="156" t="s">
        <v>486</v>
      </c>
      <c r="AA128" s="1" t="s">
        <v>482</v>
      </c>
      <c r="AC128" s="132" t="str">
        <v>Plywood</v>
      </c>
      <c r="AD128" s="132" t="str">
        <v>Metals</v>
      </c>
    </row>
    <row r="129" spans="2:32" x14ac:dyDescent="0.35">
      <c r="B129" s="4" t="s">
        <v>82</v>
      </c>
      <c r="C129" s="4" t="s">
        <v>225</v>
      </c>
      <c r="D129" s="4" t="s">
        <v>228</v>
      </c>
      <c r="P129" s="313" t="s">
        <v>801</v>
      </c>
      <c r="Q129" s="311">
        <v>0.36362</v>
      </c>
      <c r="R129" s="312" t="s">
        <v>798</v>
      </c>
      <c r="T129" s="132" t="str">
        <v>HGVs - Articulated (&gt;33t)</v>
      </c>
      <c r="W129" s="132" t="s">
        <v>478</v>
      </c>
      <c r="X129" s="132" t="s">
        <v>299</v>
      </c>
      <c r="Y129" s="177" t="str">
        <f>IFERROR(
  INDEX('Project Description'!$G$39:$G$43,
        MATCH($X129,'Project Description'!$B$39:$B$43,0)
  ),
  ""
)</f>
        <v/>
      </c>
      <c r="Z129" s="156" t="s">
        <v>486</v>
      </c>
      <c r="AA129" s="1" t="s">
        <v>482</v>
      </c>
      <c r="AC129" s="132" t="str">
        <v>Bamboo</v>
      </c>
      <c r="AD129" s="132" t="str">
        <v>Polymers (Plastics &amp; Bio-polymers)</v>
      </c>
    </row>
    <row r="130" spans="2:32" x14ac:dyDescent="0.35">
      <c r="B130" s="4" t="s">
        <v>82</v>
      </c>
      <c r="C130" s="4" t="s">
        <v>229</v>
      </c>
      <c r="D130" s="4" t="s">
        <v>230</v>
      </c>
      <c r="P130" s="313" t="s">
        <v>802</v>
      </c>
      <c r="Q130" s="311">
        <v>0.17146</v>
      </c>
      <c r="R130" s="312" t="s">
        <v>798</v>
      </c>
      <c r="T130" s="132" t="str">
        <v>HGVs - All artics</v>
      </c>
      <c r="W130" s="132" t="s">
        <v>478</v>
      </c>
      <c r="X130" s="132" t="s">
        <v>457</v>
      </c>
      <c r="Y130" s="177" t="str">
        <f>IFERROR(
  INDEX('Project Description'!$G$39:$G$43,
        MATCH($X130,'Project Description'!$B$39:$B$43,0)
  ),
  ""
)</f>
        <v/>
      </c>
      <c r="Z130" s="156" t="s">
        <v>486</v>
      </c>
      <c r="AA130" s="1" t="s">
        <v>482</v>
      </c>
      <c r="AC130" s="132" t="str">
        <v>Coconut leaves</v>
      </c>
      <c r="AD130" s="132" t="str">
        <v>Minerals &amp; Construction Materials</v>
      </c>
    </row>
    <row r="131" spans="2:32" x14ac:dyDescent="0.35">
      <c r="B131" s="4" t="s">
        <v>82</v>
      </c>
      <c r="C131" s="4" t="s">
        <v>229</v>
      </c>
      <c r="D131" s="4" t="s">
        <v>231</v>
      </c>
      <c r="P131" s="313" t="s">
        <v>803</v>
      </c>
      <c r="Q131" s="311">
        <v>0.19747999999999999</v>
      </c>
      <c r="R131" s="312" t="s">
        <v>798</v>
      </c>
      <c r="T131" s="132" t="str">
        <v>HGVs - All</v>
      </c>
      <c r="W131" s="132" t="s">
        <v>478</v>
      </c>
      <c r="X131" s="132" t="s">
        <v>300</v>
      </c>
      <c r="Y131" s="177" t="str">
        <f>IFERROR(
  INDEX('Project Description'!$G$39:$G$43,
        MATCH($X131,'Project Description'!$B$39:$B$43,0)
  ),
  ""
)</f>
        <v/>
      </c>
      <c r="Z131" s="156" t="s">
        <v>486</v>
      </c>
      <c r="AA131" s="1" t="s">
        <v>482</v>
      </c>
      <c r="AC131" s="132" t="str">
        <v>Coconut shell</v>
      </c>
      <c r="AD131" s="132" t="str">
        <v>Chemicals &amp; Industrial Inputs</v>
      </c>
    </row>
    <row r="132" spans="2:32" x14ac:dyDescent="0.35">
      <c r="B132" s="4" t="s">
        <v>82</v>
      </c>
      <c r="C132" s="4" t="s">
        <v>229</v>
      </c>
      <c r="D132" s="4" t="s">
        <v>232</v>
      </c>
      <c r="P132" s="313" t="s">
        <v>804</v>
      </c>
      <c r="Q132" s="311">
        <v>0.12633</v>
      </c>
      <c r="R132" s="312" t="s">
        <v>798</v>
      </c>
      <c r="T132" s="132" t="str">
        <v>HGVs - Refrigerated - Rigid (&gt;3.5 - 7.5 tonnes)</v>
      </c>
      <c r="W132" s="132" t="s">
        <v>478</v>
      </c>
      <c r="X132" s="132" t="s">
        <v>301</v>
      </c>
      <c r="Y132" s="177" t="str">
        <f>IFERROR(
  INDEX('Project Description'!$G$39:$G$43,
        MATCH($X132,'Project Description'!$B$39:$B$43,0)
  ),
  ""
)</f>
        <v/>
      </c>
      <c r="Z132" s="156" t="s">
        <v>486</v>
      </c>
      <c r="AA132" s="1" t="s">
        <v>482</v>
      </c>
      <c r="AC132" s="132" t="str">
        <v>Coir fibre</v>
      </c>
      <c r="AD132" s="132" t="str">
        <v>Electronics &amp; Energy Components</v>
      </c>
    </row>
    <row r="133" spans="2:32" x14ac:dyDescent="0.35">
      <c r="B133" s="4" t="s">
        <v>82</v>
      </c>
      <c r="C133" s="4" t="s">
        <v>229</v>
      </c>
      <c r="D133" s="4" t="s">
        <v>233</v>
      </c>
      <c r="P133" s="313" t="s">
        <v>805</v>
      </c>
      <c r="Q133" s="311">
        <v>7.7030000000000001E-2</v>
      </c>
      <c r="R133" s="312" t="s">
        <v>798</v>
      </c>
      <c r="T133" s="132" t="str">
        <v>HGVs - Refrigerated - Rigid (&gt;7.5 tonnes-17 tonnes)</v>
      </c>
      <c r="W133" s="132" t="s">
        <v>478</v>
      </c>
      <c r="X133" s="132" t="s">
        <v>302</v>
      </c>
      <c r="Y133" s="177" t="str">
        <f>IFERROR(
  INDEX('Project Description'!$G$39:$G$43,
        MATCH($X133,'Project Description'!$B$39:$B$43,0)
  ),
  ""
)</f>
        <v/>
      </c>
      <c r="Z133" s="156" t="s">
        <v>486</v>
      </c>
      <c r="AA133" s="1" t="s">
        <v>482</v>
      </c>
      <c r="AC133" s="132" t="str">
        <v>Jute</v>
      </c>
      <c r="AD133" s="132" t="str">
        <v>Fuels (Fossil &amp; Alternatives)</v>
      </c>
    </row>
    <row r="134" spans="2:32" x14ac:dyDescent="0.35">
      <c r="B134" s="4" t="s">
        <v>82</v>
      </c>
      <c r="C134" s="4" t="s">
        <v>229</v>
      </c>
      <c r="D134" s="4" t="s">
        <v>234</v>
      </c>
      <c r="P134" s="313" t="s">
        <v>806</v>
      </c>
      <c r="Q134" s="311">
        <v>7.8E-2</v>
      </c>
      <c r="R134" s="312" t="s">
        <v>798</v>
      </c>
      <c r="T134" s="132" t="str">
        <v>HGVs - Refrigerated - Rigid (&gt;17 tonnes)</v>
      </c>
      <c r="W134" s="132" t="s">
        <v>478</v>
      </c>
      <c r="X134" s="132" t="s">
        <v>303</v>
      </c>
      <c r="Y134" s="177" t="str">
        <f>IFERROR(
  INDEX('Project Description'!$G$39:$G$43,
        MATCH($X134,'Project Description'!$B$39:$B$43,0)
  ),
  ""
)</f>
        <v/>
      </c>
      <c r="Z134" s="156" t="s">
        <v>486</v>
      </c>
      <c r="AA134" s="1" t="s">
        <v>482</v>
      </c>
      <c r="AC134" s="132" t="str">
        <v>Hemp</v>
      </c>
      <c r="AD134" s="132" t="str">
        <v>Textiles &amp; Fibres</v>
      </c>
    </row>
    <row r="135" spans="2:32" x14ac:dyDescent="0.35">
      <c r="B135" s="4" t="s">
        <v>82</v>
      </c>
      <c r="C135" s="4" t="s">
        <v>229</v>
      </c>
      <c r="D135" s="4" t="s">
        <v>235</v>
      </c>
      <c r="P135" s="313" t="s">
        <v>815</v>
      </c>
      <c r="Q135" s="311">
        <v>0.10163</v>
      </c>
      <c r="R135" s="312" t="s">
        <v>798</v>
      </c>
      <c r="T135" s="132" t="str">
        <v>HGVs - Refrigerated - All rigids</v>
      </c>
      <c r="W135" s="132" t="s">
        <v>478</v>
      </c>
      <c r="X135" s="132" t="s">
        <v>304</v>
      </c>
      <c r="Y135" s="177" t="str">
        <f>IFERROR(
  INDEX('Project Description'!$G$39:$G$43,
        MATCH($X135,'Project Description'!$B$39:$B$43,0)
  ),
  ""
)</f>
        <v/>
      </c>
      <c r="Z135" s="156" t="s">
        <v>486</v>
      </c>
      <c r="AA135" s="1" t="s">
        <v>482</v>
      </c>
      <c r="AC135" s="132" t="str">
        <v>Cotton (raw)</v>
      </c>
      <c r="AD135" s="132" t="str">
        <v>Paper, Packaging &amp; Wood Products</v>
      </c>
    </row>
    <row r="136" spans="2:32" x14ac:dyDescent="0.35">
      <c r="B136" s="4" t="s">
        <v>82</v>
      </c>
      <c r="C136" s="4" t="s">
        <v>229</v>
      </c>
      <c r="D136" s="4" t="s">
        <v>236</v>
      </c>
      <c r="P136" s="313" t="s">
        <v>807</v>
      </c>
      <c r="Q136" s="311">
        <v>0.62836999999999998</v>
      </c>
      <c r="R136" s="312" t="s">
        <v>798</v>
      </c>
      <c r="T136" s="132" t="str">
        <v>HGVs - Refrigerated - Articulated (&gt;3.5 - 33t)</v>
      </c>
      <c r="W136" s="132" t="s">
        <v>478</v>
      </c>
      <c r="X136" s="132" t="s">
        <v>305</v>
      </c>
      <c r="Y136" s="177" t="str">
        <f>IFERROR(
  INDEX('Project Description'!$G$39:$G$43,
        MATCH($X136,'Project Description'!$B$39:$B$43,0)
  ),
  ""
)</f>
        <v/>
      </c>
      <c r="Z136" s="156" t="s">
        <v>486</v>
      </c>
      <c r="AA136" s="1" t="s">
        <v>482</v>
      </c>
      <c r="AC136" s="132" t="str">
        <v>Algae biomass</v>
      </c>
      <c r="AD136" s="132" t="str">
        <v>Agrifood - Biomass &amp; Residues</v>
      </c>
    </row>
    <row r="137" spans="2:32" x14ac:dyDescent="0.35">
      <c r="B137" s="4" t="s">
        <v>82</v>
      </c>
      <c r="C137" s="4" t="s">
        <v>229</v>
      </c>
      <c r="D137" s="4" t="s">
        <v>237</v>
      </c>
      <c r="P137" s="313" t="s">
        <v>808</v>
      </c>
      <c r="Q137" s="311">
        <v>0.43306</v>
      </c>
      <c r="R137" s="312" t="s">
        <v>798</v>
      </c>
      <c r="T137" s="132" t="str">
        <v>HGVs - Refrigerated - Articulated (&gt;33t)</v>
      </c>
      <c r="W137" s="132" t="s">
        <v>478</v>
      </c>
      <c r="X137" s="132" t="s">
        <v>306</v>
      </c>
      <c r="Y137" s="177" t="str">
        <f>IFERROR(
  INDEX('Project Description'!$G$39:$G$43,
        MATCH($X137,'Project Description'!$B$39:$B$43,0)
  ),
  ""
)</f>
        <v/>
      </c>
      <c r="Z137" s="156" t="s">
        <v>486</v>
      </c>
      <c r="AA137" s="1" t="s">
        <v>482</v>
      </c>
      <c r="AC137" s="132" t="str">
        <v>Forestry residue</v>
      </c>
      <c r="AD137" s="132" t="str">
        <v>Water</v>
      </c>
    </row>
    <row r="138" spans="2:32" x14ac:dyDescent="0.35">
      <c r="B138" s="4" t="s">
        <v>82</v>
      </c>
      <c r="C138" s="4" t="s">
        <v>229</v>
      </c>
      <c r="D138" s="4" t="s">
        <v>238</v>
      </c>
      <c r="P138" s="313" t="s">
        <v>809</v>
      </c>
      <c r="Q138" s="311">
        <v>0.20416000000000001</v>
      </c>
      <c r="R138" s="312" t="s">
        <v>798</v>
      </c>
      <c r="T138" s="132" t="str">
        <v>HGVs - Refrigerated - All artics</v>
      </c>
      <c r="W138" s="132" t="s">
        <v>49</v>
      </c>
      <c r="X138" s="132" t="s">
        <v>491</v>
      </c>
      <c r="Y138" s="177" t="s">
        <v>774</v>
      </c>
      <c r="Z138" s="177" t="s">
        <v>774</v>
      </c>
      <c r="AA138" s="177" t="s">
        <v>774</v>
      </c>
      <c r="AC138" s="132" t="str" cm="1">
        <f t="array" ref="AC138:AC140">_xlfn.UNIQUE(X138:X140)</f>
        <v>Select Water Type</v>
      </c>
      <c r="AE138" s="3"/>
      <c r="AF138" s="3"/>
    </row>
    <row r="139" spans="2:32" x14ac:dyDescent="0.35">
      <c r="B139" s="4" t="s">
        <v>83</v>
      </c>
      <c r="C139" s="4" t="s">
        <v>239</v>
      </c>
      <c r="D139" s="4" t="s">
        <v>159</v>
      </c>
      <c r="P139" s="313" t="s">
        <v>810</v>
      </c>
      <c r="Q139" s="311">
        <v>0.23513999999999999</v>
      </c>
      <c r="R139" s="312" t="s">
        <v>798</v>
      </c>
      <c r="T139" s="132" t="str">
        <v xml:space="preserve">HGVs - Refrigerated - All </v>
      </c>
      <c r="W139" s="132" t="s">
        <v>49</v>
      </c>
      <c r="X139" s="178" t="s">
        <v>485</v>
      </c>
      <c r="Y139" s="220">
        <v>0.1913</v>
      </c>
      <c r="Z139" s="179" t="s">
        <v>487</v>
      </c>
      <c r="AA139" s="1" t="s">
        <v>439</v>
      </c>
      <c r="AC139" s="132" t="str">
        <v>Water Supply</v>
      </c>
      <c r="AE139" s="4"/>
      <c r="AF139" s="4"/>
    </row>
    <row r="140" spans="2:32" x14ac:dyDescent="0.35">
      <c r="B140" s="4" t="s">
        <v>83</v>
      </c>
      <c r="C140" s="4" t="s">
        <v>239</v>
      </c>
      <c r="D140" s="4" t="s">
        <v>160</v>
      </c>
      <c r="P140" s="313" t="s">
        <v>811</v>
      </c>
      <c r="Q140" s="311">
        <v>0.14610999999999999</v>
      </c>
      <c r="R140" s="312" t="s">
        <v>798</v>
      </c>
      <c r="W140" s="132" t="s">
        <v>49</v>
      </c>
      <c r="X140" s="132" t="s">
        <v>488</v>
      </c>
      <c r="Y140" s="177">
        <v>0.17088</v>
      </c>
      <c r="Z140" s="156" t="s">
        <v>487</v>
      </c>
      <c r="AA140" s="1" t="s">
        <v>440</v>
      </c>
      <c r="AC140" s="132" t="str">
        <v>Water Treated</v>
      </c>
      <c r="AE140" s="4"/>
      <c r="AF140" s="4"/>
    </row>
    <row r="141" spans="2:32" x14ac:dyDescent="0.35">
      <c r="B141" s="4" t="s">
        <v>83</v>
      </c>
      <c r="C141" s="4" t="s">
        <v>240</v>
      </c>
      <c r="D141" s="4" t="s">
        <v>161</v>
      </c>
      <c r="P141" s="313" t="s">
        <v>812</v>
      </c>
      <c r="Q141" s="311">
        <v>8.9080000000000006E-2</v>
      </c>
      <c r="R141" s="312" t="s">
        <v>798</v>
      </c>
      <c r="AD141" s="4"/>
      <c r="AE141" s="4"/>
      <c r="AF141" s="4"/>
    </row>
    <row r="142" spans="2:32" x14ac:dyDescent="0.35">
      <c r="B142" s="4" t="s">
        <v>83</v>
      </c>
      <c r="C142" s="4" t="s">
        <v>240</v>
      </c>
      <c r="D142" s="4" t="s">
        <v>241</v>
      </c>
      <c r="P142" s="313" t="s">
        <v>813</v>
      </c>
      <c r="Q142" s="311">
        <v>9.0200000000000002E-2</v>
      </c>
      <c r="R142" s="312" t="s">
        <v>798</v>
      </c>
      <c r="AD142" s="4"/>
      <c r="AE142" s="4"/>
      <c r="AF142" s="4"/>
    </row>
    <row r="143" spans="2:32" x14ac:dyDescent="0.35">
      <c r="B143" s="4" t="s">
        <v>83</v>
      </c>
      <c r="C143" s="4" t="s">
        <v>240</v>
      </c>
      <c r="D143" s="4" t="s">
        <v>242</v>
      </c>
      <c r="P143" s="314" t="s">
        <v>814</v>
      </c>
      <c r="Q143" s="311">
        <v>0.11894</v>
      </c>
      <c r="R143" s="312" t="s">
        <v>798</v>
      </c>
    </row>
    <row r="144" spans="2:32" x14ac:dyDescent="0.35">
      <c r="B144" s="4" t="s">
        <v>83</v>
      </c>
      <c r="C144" s="4" t="s">
        <v>240</v>
      </c>
      <c r="D144" s="4" t="s">
        <v>243</v>
      </c>
      <c r="AD144" s="3">
        <v>9</v>
      </c>
      <c r="AE144" s="4"/>
      <c r="AF144" s="4"/>
    </row>
    <row r="145" spans="2:32" x14ac:dyDescent="0.35">
      <c r="B145" s="4" t="s">
        <v>83</v>
      </c>
      <c r="C145" s="4" t="s">
        <v>244</v>
      </c>
      <c r="D145" s="4" t="s">
        <v>244</v>
      </c>
      <c r="AD145" s="132" t="str" cm="1">
        <f t="array" ref="AD145:AD155">_xlfn.UNIQUE(Material_table[Material Type])</f>
        <v>Select Material Type</v>
      </c>
      <c r="AE145" s="132" t="str" cm="1">
        <f t="array" ref="AE145">_xlfn._xlws.SORT(
  _xlfn.UNIQUE(
    _xlfn._xlws.FILTER(
      Material_table[Material],
      Material_table[Material Type]='Baseline Inventory'!C21
    )
  )
)</f>
        <v>Select Material</v>
      </c>
      <c r="AF145" s="132" t="str" cm="1">
        <f t="array" ref="AF145">_xlfn._xlws.SORT(
  _xlfn.UNIQUE(
    _xlfn._xlws.FILTER(
      Material_table[Material],
      Material_table[Material Type]='Annual (or) Project Inventory'!C21
    )
  )
)</f>
        <v>Select Material</v>
      </c>
    </row>
    <row r="146" spans="2:32" x14ac:dyDescent="0.35">
      <c r="B146" s="4" t="s">
        <v>83</v>
      </c>
      <c r="C146" s="4" t="s">
        <v>244</v>
      </c>
      <c r="D146" s="4" t="s">
        <v>245</v>
      </c>
      <c r="AD146" s="132" t="str">
        <v>Metals</v>
      </c>
    </row>
    <row r="147" spans="2:32" x14ac:dyDescent="0.35">
      <c r="B147" s="4" t="s">
        <v>83</v>
      </c>
      <c r="C147" s="4" t="s">
        <v>244</v>
      </c>
      <c r="D147" s="4" t="s">
        <v>246</v>
      </c>
      <c r="AD147" s="132" t="str">
        <v>Polymers (Plastics &amp; Bio-polymers)</v>
      </c>
    </row>
    <row r="148" spans="2:32" x14ac:dyDescent="0.35">
      <c r="B148" s="4" t="s">
        <v>83</v>
      </c>
      <c r="C148" s="4" t="s">
        <v>244</v>
      </c>
      <c r="D148" s="4" t="s">
        <v>247</v>
      </c>
      <c r="AD148" s="132" t="str">
        <v>Minerals &amp; Construction Materials</v>
      </c>
    </row>
    <row r="149" spans="2:32" x14ac:dyDescent="0.35">
      <c r="B149" s="4" t="s">
        <v>83</v>
      </c>
      <c r="C149" s="4" t="s">
        <v>244</v>
      </c>
      <c r="D149" s="4" t="s">
        <v>248</v>
      </c>
      <c r="AD149" s="132" t="str">
        <v>Chemicals &amp; Industrial Inputs</v>
      </c>
    </row>
    <row r="150" spans="2:32" x14ac:dyDescent="0.35">
      <c r="B150" s="4" t="s">
        <v>83</v>
      </c>
      <c r="C150" s="4" t="s">
        <v>249</v>
      </c>
      <c r="D150" s="4" t="s">
        <v>250</v>
      </c>
      <c r="R150" s="132"/>
      <c r="AD150" s="132" t="str">
        <v>Electronics &amp; Energy Components</v>
      </c>
    </row>
    <row r="151" spans="2:32" x14ac:dyDescent="0.35">
      <c r="B151" s="4" t="s">
        <v>83</v>
      </c>
      <c r="C151" s="4" t="s">
        <v>249</v>
      </c>
      <c r="D151" s="4" t="s">
        <v>251</v>
      </c>
      <c r="R151" s="132"/>
      <c r="AD151" s="132" t="str">
        <v>Fuels (Fossil &amp; Alternatives)</v>
      </c>
    </row>
    <row r="152" spans="2:32" x14ac:dyDescent="0.35">
      <c r="B152" s="4" t="s">
        <v>83</v>
      </c>
      <c r="C152" s="4" t="s">
        <v>249</v>
      </c>
      <c r="D152" s="4" t="s">
        <v>252</v>
      </c>
      <c r="R152" s="132"/>
      <c r="AD152" s="132" t="str">
        <v>Textiles &amp; Fibres</v>
      </c>
    </row>
    <row r="153" spans="2:32" x14ac:dyDescent="0.35">
      <c r="B153" s="4" t="s">
        <v>84</v>
      </c>
      <c r="C153" s="4" t="s">
        <v>84</v>
      </c>
      <c r="D153" s="4" t="s">
        <v>84</v>
      </c>
      <c r="R153" s="132"/>
      <c r="AD153" s="132" t="str">
        <v>Paper, Packaging &amp; Wood Products</v>
      </c>
    </row>
    <row r="154" spans="2:32" x14ac:dyDescent="0.35">
      <c r="R154" s="132"/>
      <c r="AD154" s="132" t="str">
        <v>Agrifood - Biomass &amp; Residues</v>
      </c>
    </row>
    <row r="155" spans="2:32" x14ac:dyDescent="0.35">
      <c r="R155" s="132"/>
      <c r="AD155" s="132" t="str">
        <v>Water</v>
      </c>
    </row>
    <row r="156" spans="2:32" x14ac:dyDescent="0.35">
      <c r="R156" s="132"/>
      <c r="AE156" s="3"/>
      <c r="AF156" s="3"/>
    </row>
    <row r="157" spans="2:32" x14ac:dyDescent="0.35">
      <c r="R157" s="132"/>
      <c r="AE157" s="4"/>
      <c r="AF157" s="4"/>
    </row>
    <row r="158" spans="2:32" x14ac:dyDescent="0.35">
      <c r="R158" s="132"/>
      <c r="AE158" s="4"/>
      <c r="AF158" s="4"/>
    </row>
    <row r="159" spans="2:32" x14ac:dyDescent="0.35">
      <c r="R159" s="132"/>
      <c r="AD159" s="4"/>
      <c r="AE159" s="4"/>
      <c r="AF159" s="4"/>
    </row>
    <row r="160" spans="2:32" x14ac:dyDescent="0.35">
      <c r="R160" s="132"/>
      <c r="AD160" s="4"/>
      <c r="AE160" s="4"/>
      <c r="AF160" s="4"/>
    </row>
    <row r="161" spans="17:32" x14ac:dyDescent="0.35">
      <c r="R161" s="132"/>
    </row>
    <row r="162" spans="17:32" x14ac:dyDescent="0.35">
      <c r="R162" s="132"/>
      <c r="AD162" s="3">
        <v>10</v>
      </c>
      <c r="AE162" s="4"/>
      <c r="AF162" s="4"/>
    </row>
    <row r="163" spans="17:32" x14ac:dyDescent="0.35">
      <c r="R163" s="132"/>
      <c r="AD163" s="132" t="str" cm="1">
        <f t="array" ref="AD163:AD173">_xlfn.UNIQUE(Material_table[Material Type])</f>
        <v>Select Material Type</v>
      </c>
      <c r="AE163" s="132" t="str" cm="1">
        <f t="array" ref="AE163">_xlfn._xlws.SORT(
  _xlfn.UNIQUE(
    _xlfn._xlws.FILTER(
      Material_table[Material],
      Material_table[Material Type]='Baseline Inventory'!C22
    )
  )
)</f>
        <v>Select Material</v>
      </c>
      <c r="AF163" s="132" t="str" cm="1">
        <f t="array" ref="AF163">_xlfn._xlws.SORT(
  _xlfn.UNIQUE(
    _xlfn._xlws.FILTER(
      Material_table[Material],
      Material_table[Material Type]='Annual (or) Project Inventory'!C22
    )
  )
)</f>
        <v>Select Material</v>
      </c>
    </row>
    <row r="164" spans="17:32" x14ac:dyDescent="0.35">
      <c r="R164" s="132"/>
      <c r="AD164" s="132" t="str">
        <v>Metals</v>
      </c>
    </row>
    <row r="165" spans="17:32" x14ac:dyDescent="0.35">
      <c r="R165" s="132"/>
      <c r="AD165" s="132" t="str">
        <v>Polymers (Plastics &amp; Bio-polymers)</v>
      </c>
    </row>
    <row r="166" spans="17:32" x14ac:dyDescent="0.35">
      <c r="AD166" s="132" t="str">
        <v>Minerals &amp; Construction Materials</v>
      </c>
    </row>
    <row r="167" spans="17:32" x14ac:dyDescent="0.35">
      <c r="AD167" s="132" t="str">
        <v>Chemicals &amp; Industrial Inputs</v>
      </c>
    </row>
    <row r="168" spans="17:32" x14ac:dyDescent="0.35">
      <c r="AD168" s="132" t="str">
        <v>Electronics &amp; Energy Components</v>
      </c>
    </row>
    <row r="169" spans="17:32" x14ac:dyDescent="0.35">
      <c r="AD169" s="132" t="str">
        <v>Fuels (Fossil &amp; Alternatives)</v>
      </c>
    </row>
    <row r="170" spans="17:32" x14ac:dyDescent="0.35">
      <c r="Q170" s="180"/>
      <c r="AD170" s="132" t="str">
        <v>Textiles &amp; Fibres</v>
      </c>
    </row>
    <row r="171" spans="17:32" x14ac:dyDescent="0.35">
      <c r="AD171" s="132" t="str">
        <v>Paper, Packaging &amp; Wood Products</v>
      </c>
    </row>
    <row r="172" spans="17:32" x14ac:dyDescent="0.35">
      <c r="AD172" s="132" t="str">
        <v>Agrifood - Biomass &amp; Residues</v>
      </c>
    </row>
    <row r="173" spans="17:32" x14ac:dyDescent="0.35">
      <c r="AD173" s="132" t="str">
        <v>Water</v>
      </c>
    </row>
    <row r="174" spans="17:32" x14ac:dyDescent="0.35">
      <c r="AE174" s="3"/>
      <c r="AF174" s="3"/>
    </row>
    <row r="175" spans="17:32" x14ac:dyDescent="0.35">
      <c r="AE175" s="4"/>
      <c r="AF175" s="4"/>
    </row>
    <row r="176" spans="17:32" x14ac:dyDescent="0.35">
      <c r="AE176" s="4"/>
      <c r="AF176" s="4"/>
    </row>
    <row r="177" spans="16:32" x14ac:dyDescent="0.35">
      <c r="AD177" s="4"/>
      <c r="AE177" s="4"/>
      <c r="AF177" s="4"/>
    </row>
    <row r="178" spans="16:32" x14ac:dyDescent="0.35">
      <c r="AD178" s="4"/>
      <c r="AE178" s="4"/>
      <c r="AF178" s="4"/>
    </row>
    <row r="180" spans="16:32" x14ac:dyDescent="0.35">
      <c r="AD180" s="3">
        <v>11</v>
      </c>
      <c r="AE180" s="4"/>
      <c r="AF180" s="4"/>
    </row>
    <row r="181" spans="16:32" x14ac:dyDescent="0.35">
      <c r="AD181" s="132" t="str" cm="1">
        <f t="array" ref="AD181:AD191">_xlfn.UNIQUE(Material_table[Material Type])</f>
        <v>Select Material Type</v>
      </c>
      <c r="AE181" s="132" t="str" cm="1">
        <f t="array" ref="AE181">_xlfn._xlws.SORT(
  _xlfn.UNIQUE(
    _xlfn._xlws.FILTER(
      Material_table[Material],
      Material_table[Material Type]='Baseline Inventory'!C23
    )
  )
)</f>
        <v>Select Material</v>
      </c>
      <c r="AF181" s="132" t="str" cm="1">
        <f t="array" ref="AF181">_xlfn._xlws.SORT(
  _xlfn.UNIQUE(
    _xlfn._xlws.FILTER(
      Material_table[Material],
      Material_table[Material Type]='Annual (or) Project Inventory'!C23
    )
  )
)</f>
        <v>Select Material</v>
      </c>
    </row>
    <row r="182" spans="16:32" x14ac:dyDescent="0.35">
      <c r="AD182" s="132" t="str">
        <v>Metals</v>
      </c>
    </row>
    <row r="183" spans="16:32" x14ac:dyDescent="0.35">
      <c r="AD183" s="132" t="str">
        <v>Polymers (Plastics &amp; Bio-polymers)</v>
      </c>
    </row>
    <row r="184" spans="16:32" x14ac:dyDescent="0.35">
      <c r="P184" s="150"/>
      <c r="AD184" s="132" t="str">
        <v>Minerals &amp; Construction Materials</v>
      </c>
    </row>
    <row r="185" spans="16:32" x14ac:dyDescent="0.35">
      <c r="AD185" s="132" t="str">
        <v>Chemicals &amp; Industrial Inputs</v>
      </c>
    </row>
    <row r="186" spans="16:32" x14ac:dyDescent="0.35">
      <c r="AD186" s="132" t="str">
        <v>Electronics &amp; Energy Components</v>
      </c>
    </row>
    <row r="187" spans="16:32" x14ac:dyDescent="0.35">
      <c r="AD187" s="132" t="str">
        <v>Fuels (Fossil &amp; Alternatives)</v>
      </c>
    </row>
    <row r="188" spans="16:32" x14ac:dyDescent="0.35">
      <c r="AD188" s="132" t="str">
        <v>Textiles &amp; Fibres</v>
      </c>
    </row>
    <row r="189" spans="16:32" x14ac:dyDescent="0.35">
      <c r="AD189" s="132" t="str">
        <v>Paper, Packaging &amp; Wood Products</v>
      </c>
    </row>
    <row r="190" spans="16:32" x14ac:dyDescent="0.35">
      <c r="AD190" s="132" t="str">
        <v>Agrifood - Biomass &amp; Residues</v>
      </c>
    </row>
    <row r="191" spans="16:32" x14ac:dyDescent="0.35">
      <c r="AD191" s="132" t="str">
        <v>Water</v>
      </c>
    </row>
    <row r="192" spans="16:32" x14ac:dyDescent="0.35">
      <c r="AD192" s="3"/>
      <c r="AE192" s="3"/>
      <c r="AF192" s="3"/>
    </row>
    <row r="193" spans="29:32" x14ac:dyDescent="0.35">
      <c r="AD193" s="4"/>
      <c r="AE193" s="4"/>
      <c r="AF193" s="4"/>
    </row>
    <row r="194" spans="29:32" x14ac:dyDescent="0.35">
      <c r="AD194" s="4"/>
      <c r="AE194" s="4"/>
      <c r="AF194" s="4"/>
    </row>
    <row r="195" spans="29:32" x14ac:dyDescent="0.35">
      <c r="AC195" s="4"/>
      <c r="AD195" s="4"/>
      <c r="AE195" s="4"/>
      <c r="AF195" s="4"/>
    </row>
    <row r="196" spans="29:32" x14ac:dyDescent="0.35">
      <c r="AC196" s="4"/>
      <c r="AD196" s="4"/>
      <c r="AE196" s="4"/>
      <c r="AF196" s="4"/>
    </row>
    <row r="198" spans="29:32" x14ac:dyDescent="0.35">
      <c r="AD198" s="3">
        <v>12</v>
      </c>
      <c r="AE198" s="4"/>
      <c r="AF198" s="4"/>
    </row>
    <row r="199" spans="29:32" x14ac:dyDescent="0.35">
      <c r="AD199" s="132" t="str" cm="1">
        <f t="array" ref="AD199:AD209">_xlfn.UNIQUE(Material_table[Material Type])</f>
        <v>Select Material Type</v>
      </c>
      <c r="AE199" s="132" t="str" cm="1">
        <f t="array" ref="AE199">_xlfn._xlws.SORT(
  _xlfn.UNIQUE(
    _xlfn._xlws.FILTER(
      Material_table[Material],
      Material_table[Material Type]='Baseline Inventory'!C24
    )
  )
)</f>
        <v>Select Material</v>
      </c>
      <c r="AF199" s="132" t="str" cm="1">
        <f t="array" ref="AF199">_xlfn._xlws.SORT(
  _xlfn.UNIQUE(
    _xlfn._xlws.FILTER(
      Material_table[Material],
      Material_table[Material Type]='Annual (or) Project Inventory'!C24
    )
  )
)</f>
        <v>Select Material</v>
      </c>
    </row>
    <row r="200" spans="29:32" x14ac:dyDescent="0.35">
      <c r="AD200" s="132" t="str">
        <v>Metals</v>
      </c>
    </row>
    <row r="201" spans="29:32" x14ac:dyDescent="0.35">
      <c r="AD201" s="132" t="str">
        <v>Polymers (Plastics &amp; Bio-polymers)</v>
      </c>
    </row>
    <row r="202" spans="29:32" x14ac:dyDescent="0.35">
      <c r="AD202" s="132" t="str">
        <v>Minerals &amp; Construction Materials</v>
      </c>
    </row>
    <row r="203" spans="29:32" x14ac:dyDescent="0.35">
      <c r="AD203" s="132" t="str">
        <v>Chemicals &amp; Industrial Inputs</v>
      </c>
    </row>
    <row r="204" spans="29:32" x14ac:dyDescent="0.35">
      <c r="AD204" s="132" t="str">
        <v>Electronics &amp; Energy Components</v>
      </c>
    </row>
    <row r="205" spans="29:32" x14ac:dyDescent="0.35">
      <c r="AD205" s="132" t="str">
        <v>Fuels (Fossil &amp; Alternatives)</v>
      </c>
    </row>
    <row r="206" spans="29:32" x14ac:dyDescent="0.35">
      <c r="AD206" s="132" t="str">
        <v>Textiles &amp; Fibres</v>
      </c>
    </row>
    <row r="207" spans="29:32" x14ac:dyDescent="0.35">
      <c r="AD207" s="132" t="str">
        <v>Paper, Packaging &amp; Wood Products</v>
      </c>
    </row>
    <row r="208" spans="29:32" x14ac:dyDescent="0.35">
      <c r="AD208" s="132" t="str">
        <v>Agrifood - Biomass &amp; Residues</v>
      </c>
    </row>
    <row r="209" spans="30:32" x14ac:dyDescent="0.35">
      <c r="AD209" s="132" t="str">
        <v>Water</v>
      </c>
    </row>
    <row r="210" spans="30:32" x14ac:dyDescent="0.35">
      <c r="AE210" s="3"/>
      <c r="AF210" s="3"/>
    </row>
    <row r="211" spans="30:32" x14ac:dyDescent="0.35">
      <c r="AE211" s="4"/>
      <c r="AF211" s="4"/>
    </row>
    <row r="212" spans="30:32" x14ac:dyDescent="0.35">
      <c r="AE212" s="4"/>
      <c r="AF212" s="4"/>
    </row>
    <row r="213" spans="30:32" x14ac:dyDescent="0.35">
      <c r="AD213" s="4"/>
      <c r="AE213" s="4"/>
      <c r="AF213" s="4"/>
    </row>
    <row r="214" spans="30:32" x14ac:dyDescent="0.35">
      <c r="AD214" s="4"/>
      <c r="AE214" s="4"/>
      <c r="AF214" s="4"/>
    </row>
    <row r="216" spans="30:32" x14ac:dyDescent="0.35">
      <c r="AD216" s="3">
        <v>13</v>
      </c>
      <c r="AE216" s="4"/>
      <c r="AF216" s="4"/>
    </row>
    <row r="217" spans="30:32" x14ac:dyDescent="0.35">
      <c r="AD217" s="132" t="str" cm="1">
        <f t="array" ref="AD217:AD227">_xlfn.UNIQUE(Material_table[Material Type])</f>
        <v>Select Material Type</v>
      </c>
      <c r="AE217" s="132" t="str" cm="1">
        <f t="array" ref="AE217">_xlfn._xlws.SORT(
  _xlfn.UNIQUE(
    _xlfn._xlws.FILTER(
      Material_table[Material],
      Material_table[Material Type]='Baseline Inventory'!C25
    )
  )
)</f>
        <v>Select Material</v>
      </c>
      <c r="AF217" s="132" t="str" cm="1">
        <f t="array" ref="AF217">_xlfn._xlws.SORT(
  _xlfn.UNIQUE(
    _xlfn._xlws.FILTER(
      Material_table[Material],
      Material_table[Material Type]='Annual (or) Project Inventory'!C25
    )
  )
)</f>
        <v>Select Material</v>
      </c>
    </row>
    <row r="218" spans="30:32" x14ac:dyDescent="0.35">
      <c r="AD218" s="132" t="str">
        <v>Metals</v>
      </c>
    </row>
    <row r="219" spans="30:32" x14ac:dyDescent="0.35">
      <c r="AD219" s="132" t="str">
        <v>Polymers (Plastics &amp; Bio-polymers)</v>
      </c>
    </row>
    <row r="220" spans="30:32" x14ac:dyDescent="0.35">
      <c r="AD220" s="132" t="str">
        <v>Minerals &amp; Construction Materials</v>
      </c>
    </row>
    <row r="221" spans="30:32" x14ac:dyDescent="0.35">
      <c r="AD221" s="132" t="str">
        <v>Chemicals &amp; Industrial Inputs</v>
      </c>
    </row>
    <row r="222" spans="30:32" x14ac:dyDescent="0.35">
      <c r="AD222" s="132" t="str">
        <v>Electronics &amp; Energy Components</v>
      </c>
    </row>
    <row r="223" spans="30:32" x14ac:dyDescent="0.35">
      <c r="AD223" s="132" t="str">
        <v>Fuels (Fossil &amp; Alternatives)</v>
      </c>
    </row>
    <row r="224" spans="30:32" x14ac:dyDescent="0.35">
      <c r="AD224" s="132" t="str">
        <v>Textiles &amp; Fibres</v>
      </c>
    </row>
    <row r="225" spans="30:35" x14ac:dyDescent="0.35">
      <c r="AD225" s="132" t="str">
        <v>Paper, Packaging &amp; Wood Products</v>
      </c>
    </row>
    <row r="226" spans="30:35" x14ac:dyDescent="0.35">
      <c r="AD226" s="132" t="str">
        <v>Agrifood - Biomass &amp; Residues</v>
      </c>
    </row>
    <row r="227" spans="30:35" x14ac:dyDescent="0.35">
      <c r="AD227" s="132" t="str">
        <v>Water</v>
      </c>
    </row>
    <row r="228" spans="30:35" x14ac:dyDescent="0.35">
      <c r="AE228" s="3"/>
      <c r="AF228" s="3"/>
    </row>
    <row r="229" spans="30:35" x14ac:dyDescent="0.35">
      <c r="AE229" s="4"/>
      <c r="AF229" s="4"/>
    </row>
    <row r="230" spans="30:35" x14ac:dyDescent="0.35">
      <c r="AE230" s="4"/>
      <c r="AF230" s="4"/>
    </row>
    <row r="231" spans="30:35" x14ac:dyDescent="0.35">
      <c r="AD231" s="4"/>
      <c r="AE231" s="4"/>
      <c r="AF231" s="4"/>
    </row>
    <row r="232" spans="30:35" x14ac:dyDescent="0.35">
      <c r="AD232" s="4"/>
      <c r="AE232" s="4"/>
      <c r="AF232" s="4"/>
    </row>
    <row r="234" spans="30:35" x14ac:dyDescent="0.35">
      <c r="AD234" s="3">
        <v>14</v>
      </c>
      <c r="AE234" s="4"/>
      <c r="AF234" s="4"/>
    </row>
    <row r="235" spans="30:35" x14ac:dyDescent="0.35">
      <c r="AD235" s="132" t="str" cm="1">
        <f t="array" ref="AD235:AD245">_xlfn.UNIQUE(Material_table[Material Type])</f>
        <v>Select Material Type</v>
      </c>
      <c r="AE235" s="132" t="str" cm="1">
        <f t="array" ref="AE235">_xlfn._xlws.SORT(
  _xlfn.UNIQUE(
    _xlfn._xlws.FILTER(
      Material_table[Material],
      Material_table[Material Type]='Baseline Inventory'!C26
    )
  )
)</f>
        <v>Select Material</v>
      </c>
      <c r="AF235" s="132" t="str" cm="1">
        <f t="array" ref="AF235">_xlfn._xlws.SORT(
  _xlfn.UNIQUE(
    _xlfn._xlws.FILTER(
      Material_table[Material],
      Material_table[Material Type]='Annual (or) Project Inventory'!C26
    )
  )
)</f>
        <v>Select Material</v>
      </c>
    </row>
    <row r="236" spans="30:35" x14ac:dyDescent="0.35">
      <c r="AD236" s="132" t="str">
        <v>Metals</v>
      </c>
    </row>
    <row r="237" spans="30:35" x14ac:dyDescent="0.35">
      <c r="AD237" s="132" t="str">
        <v>Polymers (Plastics &amp; Bio-polymers)</v>
      </c>
    </row>
    <row r="238" spans="30:35" x14ac:dyDescent="0.35">
      <c r="AD238" s="132" t="str">
        <v>Minerals &amp; Construction Materials</v>
      </c>
    </row>
    <row r="239" spans="30:35" x14ac:dyDescent="0.35">
      <c r="AD239" s="132" t="str">
        <v>Chemicals &amp; Industrial Inputs</v>
      </c>
      <c r="AI239" s="3"/>
    </row>
    <row r="240" spans="30:35" x14ac:dyDescent="0.35">
      <c r="AD240" s="132" t="str">
        <v>Electronics &amp; Energy Components</v>
      </c>
      <c r="AI240" s="4"/>
    </row>
    <row r="241" spans="30:35" x14ac:dyDescent="0.35">
      <c r="AD241" s="132" t="str">
        <v>Fuels (Fossil &amp; Alternatives)</v>
      </c>
      <c r="AI241" s="4"/>
    </row>
    <row r="242" spans="30:35" x14ac:dyDescent="0.35">
      <c r="AD242" s="132" t="str">
        <v>Textiles &amp; Fibres</v>
      </c>
      <c r="AI242" s="4"/>
    </row>
    <row r="243" spans="30:35" x14ac:dyDescent="0.35">
      <c r="AD243" s="132" t="str">
        <v>Paper, Packaging &amp; Wood Products</v>
      </c>
      <c r="AI243" s="4"/>
    </row>
    <row r="244" spans="30:35" x14ac:dyDescent="0.35">
      <c r="AD244" s="132" t="str">
        <v>Agrifood - Biomass &amp; Residues</v>
      </c>
    </row>
    <row r="245" spans="30:35" x14ac:dyDescent="0.35">
      <c r="AD245" s="132" t="str">
        <v>Water</v>
      </c>
    </row>
    <row r="246" spans="30:35" x14ac:dyDescent="0.35">
      <c r="AF246" s="3"/>
    </row>
    <row r="247" spans="30:35" x14ac:dyDescent="0.35">
      <c r="AF247" s="4"/>
    </row>
    <row r="248" spans="30:35" x14ac:dyDescent="0.35">
      <c r="AF248" s="4"/>
    </row>
    <row r="249" spans="30:35" x14ac:dyDescent="0.35">
      <c r="AE249" s="4"/>
      <c r="AF249" s="4"/>
    </row>
    <row r="250" spans="30:35" x14ac:dyDescent="0.35">
      <c r="AE250" s="4"/>
      <c r="AF250" s="4"/>
    </row>
    <row r="252" spans="30:35" x14ac:dyDescent="0.35">
      <c r="AD252" s="3">
        <v>15</v>
      </c>
      <c r="AE252" s="4"/>
      <c r="AF252" s="4"/>
    </row>
    <row r="253" spans="30:35" x14ac:dyDescent="0.35">
      <c r="AD253" s="132" t="str" cm="1">
        <f t="array" ref="AD253:AD263">_xlfn.UNIQUE(Material_table[Material Type])</f>
        <v>Select Material Type</v>
      </c>
      <c r="AE253" s="132" t="str" cm="1">
        <f t="array" ref="AE253">_xlfn._xlws.SORT(
  _xlfn.UNIQUE(
    _xlfn._xlws.FILTER(
      Material_table[Material],
      Material_table[Material Type]='Baseline Inventory'!C27
    )
  )
)</f>
        <v>Select Material</v>
      </c>
      <c r="AF253" s="132" t="str" cm="1">
        <f t="array" ref="AF253">_xlfn._xlws.SORT(
  _xlfn.UNIQUE(
    _xlfn._xlws.FILTER(
      Material_table[Material],
      Material_table[Material Type]='Annual (or) Project Inventory'!C27
    )
  )
)</f>
        <v>Select Material</v>
      </c>
    </row>
    <row r="254" spans="30:35" x14ac:dyDescent="0.35">
      <c r="AD254" s="132" t="str">
        <v>Metals</v>
      </c>
    </row>
    <row r="255" spans="30:35" x14ac:dyDescent="0.35">
      <c r="AD255" s="132" t="str">
        <v>Polymers (Plastics &amp; Bio-polymers)</v>
      </c>
    </row>
    <row r="256" spans="30:35" x14ac:dyDescent="0.35">
      <c r="AD256" s="132" t="str">
        <v>Minerals &amp; Construction Materials</v>
      </c>
    </row>
    <row r="257" spans="30:32" x14ac:dyDescent="0.35">
      <c r="AD257" s="132" t="str">
        <v>Chemicals &amp; Industrial Inputs</v>
      </c>
    </row>
    <row r="258" spans="30:32" x14ac:dyDescent="0.35">
      <c r="AD258" s="132" t="str">
        <v>Electronics &amp; Energy Components</v>
      </c>
    </row>
    <row r="259" spans="30:32" x14ac:dyDescent="0.35">
      <c r="AD259" s="132" t="str">
        <v>Fuels (Fossil &amp; Alternatives)</v>
      </c>
    </row>
    <row r="260" spans="30:32" x14ac:dyDescent="0.35">
      <c r="AD260" s="132" t="str">
        <v>Textiles &amp; Fibres</v>
      </c>
    </row>
    <row r="261" spans="30:32" x14ac:dyDescent="0.35">
      <c r="AD261" s="132" t="str">
        <v>Paper, Packaging &amp; Wood Products</v>
      </c>
    </row>
    <row r="262" spans="30:32" x14ac:dyDescent="0.35">
      <c r="AD262" s="132" t="str">
        <v>Agrifood - Biomass &amp; Residues</v>
      </c>
    </row>
    <row r="263" spans="30:32" x14ac:dyDescent="0.35">
      <c r="AD263" s="132" t="str">
        <v>Water</v>
      </c>
    </row>
    <row r="264" spans="30:32" x14ac:dyDescent="0.35">
      <c r="AE264" s="3"/>
      <c r="AF264" s="3"/>
    </row>
    <row r="265" spans="30:32" x14ac:dyDescent="0.35">
      <c r="AE265" s="4"/>
      <c r="AF265" s="4"/>
    </row>
    <row r="266" spans="30:32" x14ac:dyDescent="0.35">
      <c r="AE266" s="4"/>
      <c r="AF266" s="4"/>
    </row>
    <row r="267" spans="30:32" x14ac:dyDescent="0.35">
      <c r="AD267" s="4"/>
      <c r="AE267" s="4"/>
      <c r="AF267" s="4"/>
    </row>
    <row r="268" spans="30:32" x14ac:dyDescent="0.35">
      <c r="AD268" s="4"/>
      <c r="AE268" s="4"/>
      <c r="AF268" s="4"/>
    </row>
  </sheetData>
  <sheetProtection algorithmName="SHA-512" hashValue="DTvIArNkDDKwE0CxDpn5wwDZFvxSIXlQ74eeV9qRjgIrNylLWASvJ0RnWjaTg2l0UxWQFIg43nVs9PGHOsefbw==" saltValue="oIRX3/N3SNb0mT7GeMc+Ew==" spinCount="100000" sheet="1" objects="1" scenarios="1"/>
  <dataConsolidate/>
  <mergeCells count="15">
    <mergeCell ref="P121:R121"/>
    <mergeCell ref="F3:H3"/>
    <mergeCell ref="AO4:AQ4"/>
    <mergeCell ref="AO5:AQ5"/>
    <mergeCell ref="P44:S44"/>
    <mergeCell ref="P15:R15"/>
    <mergeCell ref="J63:L63"/>
    <mergeCell ref="B1:AM1"/>
    <mergeCell ref="AR5:AT5"/>
    <mergeCell ref="W3:AA3"/>
    <mergeCell ref="AI3:AM3"/>
    <mergeCell ref="J3:M3"/>
    <mergeCell ref="P3:S3"/>
    <mergeCell ref="AD4:AF4"/>
    <mergeCell ref="B3:D3"/>
  </mergeCells>
  <phoneticPr fontId="31" type="noConversion"/>
  <pageMargins left="0.7" right="0.7" top="0.75" bottom="0.75" header="0.3" footer="0.3"/>
  <drawing r:id="rId1"/>
  <tableParts count="9">
    <tablePart r:id="rId2"/>
    <tablePart r:id="rId3"/>
    <tablePart r:id="rId4"/>
    <tablePart r:id="rId5"/>
    <tablePart r:id="rId6"/>
    <tablePart r:id="rId7"/>
    <tablePart r:id="rId8"/>
    <tablePart r:id="rId9"/>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FDF6-4089-4BD7-BF0B-82F3D1668409}">
  <sheetPr codeName="Sheet4">
    <tabColor theme="7" tint="-0.499984740745262"/>
  </sheetPr>
  <dimension ref="A1:H62"/>
  <sheetViews>
    <sheetView showGridLines="0" topLeftCell="A57" zoomScale="70" zoomScaleNormal="70" workbookViewId="0">
      <selection activeCell="B29" sqref="B29"/>
    </sheetView>
  </sheetViews>
  <sheetFormatPr defaultRowHeight="15.5" x14ac:dyDescent="0.35"/>
  <cols>
    <col min="1" max="1" width="9.1796875" style="109" customWidth="1"/>
    <col min="2" max="3" width="82.6328125" style="109" customWidth="1"/>
    <col min="4" max="16384" width="8.7265625" style="109"/>
  </cols>
  <sheetData>
    <row r="1" spans="1:4" ht="105" customHeight="1" x14ac:dyDescent="0.35">
      <c r="B1" s="331" t="s">
        <v>561</v>
      </c>
      <c r="C1" s="331"/>
      <c r="D1" s="112"/>
    </row>
    <row r="2" spans="1:4" ht="12" customHeight="1" x14ac:dyDescent="0.35">
      <c r="B2" s="116"/>
      <c r="C2" s="116"/>
      <c r="D2" s="112"/>
    </row>
    <row r="3" spans="1:4" ht="31.5" customHeight="1" x14ac:dyDescent="0.35">
      <c r="A3" s="181"/>
      <c r="B3" s="350" t="s">
        <v>578</v>
      </c>
      <c r="C3" s="350"/>
    </row>
    <row r="4" spans="1:4" ht="17" customHeight="1" x14ac:dyDescent="0.35">
      <c r="B4" s="113" t="s">
        <v>579</v>
      </c>
      <c r="C4" s="114" t="s">
        <v>582</v>
      </c>
    </row>
    <row r="5" spans="1:4" ht="17" customHeight="1" x14ac:dyDescent="0.35">
      <c r="A5" s="14"/>
      <c r="B5" s="45" t="s">
        <v>583</v>
      </c>
      <c r="C5" s="107" t="s">
        <v>580</v>
      </c>
    </row>
    <row r="6" spans="1:4" ht="17" customHeight="1" x14ac:dyDescent="0.35">
      <c r="A6" s="14"/>
    </row>
    <row r="7" spans="1:4" ht="53.5" customHeight="1" x14ac:dyDescent="0.35">
      <c r="A7" s="14"/>
      <c r="B7" s="352" t="s">
        <v>700</v>
      </c>
      <c r="C7" s="352"/>
    </row>
    <row r="8" spans="1:4" ht="53.5" customHeight="1" x14ac:dyDescent="0.35">
      <c r="A8" s="14"/>
      <c r="B8" s="353" t="str">
        <f>'About this tool'!C39 &amp; "Briefly summarize the theroy of change process for your company/organization. (Theory of Change, UNDAF)"</f>
        <v>This sheet captures high-level organisational information and outlines the business case using a simplified Theory of Change framework. It describes how the company’s activities and solutions are expected to lead to sustainable outcomes and longer-term climate impact.Briefly summarize the theroy of change process for your company/organization. (Theory of Change, UNDAF)</v>
      </c>
      <c r="C8" s="353"/>
    </row>
    <row r="9" spans="1:4" ht="29.5" customHeight="1" x14ac:dyDescent="0.35">
      <c r="A9" s="14"/>
      <c r="B9" s="22" t="s">
        <v>0</v>
      </c>
      <c r="C9" s="224" t="s">
        <v>623</v>
      </c>
    </row>
    <row r="10" spans="1:4" ht="29.5" customHeight="1" x14ac:dyDescent="0.35">
      <c r="A10" s="14"/>
      <c r="B10" s="22" t="s">
        <v>627</v>
      </c>
      <c r="C10" s="224" t="s">
        <v>624</v>
      </c>
    </row>
    <row r="11" spans="1:4" ht="29.5" customHeight="1" x14ac:dyDescent="0.35">
      <c r="A11" s="14"/>
      <c r="B11" s="22" t="s">
        <v>628</v>
      </c>
      <c r="C11" s="224" t="s">
        <v>625</v>
      </c>
    </row>
    <row r="12" spans="1:4" ht="29.5" customHeight="1" x14ac:dyDescent="0.35">
      <c r="A12" s="14"/>
      <c r="B12" s="22" t="s">
        <v>629</v>
      </c>
      <c r="C12" s="224" t="s">
        <v>626</v>
      </c>
    </row>
    <row r="13" spans="1:4" ht="18" x14ac:dyDescent="0.35">
      <c r="A13" s="14"/>
    </row>
    <row r="14" spans="1:4" ht="40" customHeight="1" x14ac:dyDescent="0.35">
      <c r="A14" s="14"/>
      <c r="B14" s="352" t="s">
        <v>9</v>
      </c>
      <c r="C14" s="352"/>
    </row>
    <row r="15" spans="1:4" ht="40" customHeight="1" x14ac:dyDescent="0.35">
      <c r="A15" s="14"/>
      <c r="B15" s="348" t="s">
        <v>499</v>
      </c>
      <c r="C15" s="348"/>
    </row>
    <row r="16" spans="1:4" ht="40" customHeight="1" x14ac:dyDescent="0.35">
      <c r="A16" s="14"/>
      <c r="B16" s="349" t="s">
        <v>10</v>
      </c>
      <c r="C16" s="349"/>
    </row>
    <row r="17" spans="1:3" ht="40" customHeight="1" x14ac:dyDescent="0.35">
      <c r="A17" s="14"/>
      <c r="B17" s="351" t="s">
        <v>584</v>
      </c>
      <c r="C17" s="351"/>
    </row>
    <row r="18" spans="1:3" ht="30" customHeight="1" x14ac:dyDescent="0.35">
      <c r="A18" s="14"/>
      <c r="B18" s="22" t="s">
        <v>498</v>
      </c>
      <c r="C18" s="22" t="s">
        <v>2</v>
      </c>
    </row>
    <row r="19" spans="1:3" ht="30" customHeight="1" x14ac:dyDescent="0.35">
      <c r="A19" s="14"/>
      <c r="B19" s="115" t="s">
        <v>1</v>
      </c>
      <c r="C19" s="225" t="s">
        <v>508</v>
      </c>
    </row>
    <row r="20" spans="1:3" s="34" customFormat="1" ht="30" customHeight="1" x14ac:dyDescent="0.35">
      <c r="A20" s="14"/>
      <c r="B20" s="115" t="s">
        <v>3</v>
      </c>
      <c r="C20" s="224" t="s">
        <v>630</v>
      </c>
    </row>
    <row r="21" spans="1:3" ht="30" customHeight="1" x14ac:dyDescent="0.35">
      <c r="A21" s="14"/>
      <c r="B21" s="115" t="s">
        <v>11</v>
      </c>
      <c r="C21" s="224" t="s">
        <v>60</v>
      </c>
    </row>
    <row r="22" spans="1:3" ht="30" customHeight="1" x14ac:dyDescent="0.35">
      <c r="A22" s="14"/>
      <c r="B22" s="115" t="s">
        <v>4</v>
      </c>
      <c r="C22" s="224" t="s">
        <v>631</v>
      </c>
    </row>
    <row r="23" spans="1:3" ht="30" customHeight="1" x14ac:dyDescent="0.35">
      <c r="A23" s="14"/>
      <c r="B23" s="115" t="s">
        <v>57</v>
      </c>
      <c r="C23" s="226" t="s">
        <v>25</v>
      </c>
    </row>
    <row r="24" spans="1:3" ht="18" x14ac:dyDescent="0.35">
      <c r="A24" s="14"/>
    </row>
    <row r="25" spans="1:3" ht="30" customHeight="1" x14ac:dyDescent="0.35">
      <c r="A25" s="14"/>
      <c r="B25" s="22" t="s">
        <v>497</v>
      </c>
      <c r="C25" s="22" t="s">
        <v>5</v>
      </c>
    </row>
    <row r="26" spans="1:3" s="34" customFormat="1" ht="25.5" customHeight="1" x14ac:dyDescent="0.35">
      <c r="A26" s="14"/>
      <c r="B26" s="347" t="s">
        <v>62</v>
      </c>
      <c r="C26" s="347"/>
    </row>
    <row r="27" spans="1:3" ht="54.5" customHeight="1" x14ac:dyDescent="0.35">
      <c r="A27" s="14"/>
      <c r="B27" s="115" t="s">
        <v>8</v>
      </c>
      <c r="C27" s="224" t="s">
        <v>61</v>
      </c>
    </row>
    <row r="28" spans="1:3" ht="54.5" customHeight="1" x14ac:dyDescent="0.35">
      <c r="A28" s="14"/>
      <c r="B28" s="115" t="s">
        <v>6</v>
      </c>
      <c r="C28" s="224" t="s">
        <v>61</v>
      </c>
    </row>
    <row r="29" spans="1:3" ht="54.5" customHeight="1" x14ac:dyDescent="0.35">
      <c r="A29" s="14"/>
      <c r="B29" s="115" t="s">
        <v>7</v>
      </c>
      <c r="C29" s="224" t="s">
        <v>61</v>
      </c>
    </row>
    <row r="30" spans="1:3" ht="18" x14ac:dyDescent="0.35">
      <c r="A30" s="14"/>
    </row>
    <row r="31" spans="1:3" ht="40" customHeight="1" x14ac:dyDescent="0.35">
      <c r="A31" s="14"/>
      <c r="B31" s="349" t="s">
        <v>12</v>
      </c>
      <c r="C31" s="349"/>
    </row>
    <row r="32" spans="1:3" ht="40" customHeight="1" x14ac:dyDescent="0.35">
      <c r="A32" s="14"/>
      <c r="B32" s="347" t="s">
        <v>494</v>
      </c>
      <c r="C32" s="347"/>
    </row>
    <row r="33" spans="1:3" ht="30" customHeight="1" x14ac:dyDescent="0.35">
      <c r="A33" s="181"/>
      <c r="B33" s="22" t="s">
        <v>13</v>
      </c>
      <c r="C33" s="22" t="s">
        <v>14</v>
      </c>
    </row>
    <row r="34" spans="1:3" ht="40" customHeight="1" x14ac:dyDescent="0.35">
      <c r="A34" s="14"/>
      <c r="B34" s="227" t="s">
        <v>633</v>
      </c>
      <c r="C34" s="227" t="s">
        <v>633</v>
      </c>
    </row>
    <row r="35" spans="1:3" ht="40" customHeight="1" x14ac:dyDescent="0.35">
      <c r="A35" s="14"/>
      <c r="B35" s="228"/>
      <c r="C35" s="228"/>
    </row>
    <row r="36" spans="1:3" ht="40" customHeight="1" x14ac:dyDescent="0.35">
      <c r="A36" s="14"/>
      <c r="B36" s="228"/>
      <c r="C36" s="228"/>
    </row>
    <row r="37" spans="1:3" s="34" customFormat="1" ht="40" customHeight="1" x14ac:dyDescent="0.35">
      <c r="A37" s="14"/>
      <c r="B37" s="228"/>
      <c r="C37" s="228"/>
    </row>
    <row r="38" spans="1:3" ht="40" customHeight="1" x14ac:dyDescent="0.35">
      <c r="A38" s="14"/>
      <c r="B38" s="228"/>
      <c r="C38" s="228"/>
    </row>
    <row r="39" spans="1:3" ht="40" customHeight="1" x14ac:dyDescent="0.35">
      <c r="A39" s="14"/>
      <c r="B39" s="228"/>
      <c r="C39" s="228"/>
    </row>
    <row r="40" spans="1:3" ht="40" customHeight="1" x14ac:dyDescent="0.35">
      <c r="A40" s="14"/>
      <c r="B40" s="228"/>
      <c r="C40" s="228"/>
    </row>
    <row r="41" spans="1:3" ht="18" x14ac:dyDescent="0.35">
      <c r="A41" s="14"/>
    </row>
    <row r="42" spans="1:3" ht="40" customHeight="1" x14ac:dyDescent="0.35">
      <c r="A42" s="14"/>
      <c r="B42" s="349" t="s">
        <v>15</v>
      </c>
      <c r="C42" s="349"/>
    </row>
    <row r="43" spans="1:3" ht="40" customHeight="1" x14ac:dyDescent="0.35">
      <c r="A43" s="14"/>
      <c r="B43" s="347" t="s">
        <v>63</v>
      </c>
      <c r="C43" s="347"/>
    </row>
    <row r="44" spans="1:3" ht="30.5" customHeight="1" x14ac:dyDescent="0.35">
      <c r="A44" s="14"/>
      <c r="B44" s="22" t="s">
        <v>16</v>
      </c>
      <c r="C44" s="22" t="s">
        <v>17</v>
      </c>
    </row>
    <row r="45" spans="1:3" ht="40" customHeight="1" x14ac:dyDescent="0.35">
      <c r="B45" s="227" t="s">
        <v>633</v>
      </c>
      <c r="C45" s="227" t="s">
        <v>633</v>
      </c>
    </row>
    <row r="46" spans="1:3" ht="40" customHeight="1" x14ac:dyDescent="0.35">
      <c r="B46" s="229"/>
      <c r="C46" s="229"/>
    </row>
    <row r="47" spans="1:3" ht="40" customHeight="1" x14ac:dyDescent="0.35">
      <c r="B47" s="229"/>
      <c r="C47" s="229"/>
    </row>
    <row r="48" spans="1:3" s="34" customFormat="1" ht="40" customHeight="1" x14ac:dyDescent="0.35">
      <c r="A48" s="109"/>
      <c r="B48" s="229"/>
      <c r="C48" s="229"/>
    </row>
    <row r="49" spans="2:8" ht="40" customHeight="1" x14ac:dyDescent="0.35">
      <c r="B49" s="228"/>
      <c r="C49" s="228"/>
    </row>
    <row r="50" spans="2:8" ht="40" customHeight="1" x14ac:dyDescent="0.35">
      <c r="B50" s="228"/>
      <c r="C50" s="228"/>
    </row>
    <row r="51" spans="2:8" ht="40" customHeight="1" x14ac:dyDescent="0.35">
      <c r="B51" s="228"/>
      <c r="C51" s="228"/>
    </row>
    <row r="53" spans="2:8" ht="40" customHeight="1" x14ac:dyDescent="0.35">
      <c r="B53" s="349" t="s">
        <v>46</v>
      </c>
      <c r="C53" s="349"/>
    </row>
    <row r="54" spans="2:8" ht="40" customHeight="1" x14ac:dyDescent="0.35">
      <c r="B54" s="347" t="s">
        <v>47</v>
      </c>
      <c r="C54" s="347"/>
    </row>
    <row r="55" spans="2:8" ht="30" customHeight="1" x14ac:dyDescent="0.35">
      <c r="B55" s="22" t="s">
        <v>20</v>
      </c>
      <c r="C55" s="22" t="s">
        <v>19</v>
      </c>
      <c r="H55" s="109" t="s">
        <v>632</v>
      </c>
    </row>
    <row r="56" spans="2:8" ht="40" customHeight="1" x14ac:dyDescent="0.35">
      <c r="B56" s="227" t="s">
        <v>634</v>
      </c>
      <c r="C56" s="227" t="s">
        <v>635</v>
      </c>
    </row>
    <row r="57" spans="2:8" ht="40" customHeight="1" x14ac:dyDescent="0.35">
      <c r="B57" s="228"/>
      <c r="C57" s="228"/>
    </row>
    <row r="58" spans="2:8" ht="40" customHeight="1" x14ac:dyDescent="0.35">
      <c r="B58" s="228"/>
      <c r="C58" s="228"/>
    </row>
    <row r="59" spans="2:8" ht="40" customHeight="1" x14ac:dyDescent="0.35">
      <c r="B59" s="228"/>
      <c r="C59" s="228"/>
    </row>
    <row r="60" spans="2:8" ht="40" customHeight="1" x14ac:dyDescent="0.35">
      <c r="B60" s="228"/>
      <c r="C60" s="228"/>
    </row>
    <row r="61" spans="2:8" ht="40" customHeight="1" x14ac:dyDescent="0.35">
      <c r="B61" s="228"/>
      <c r="C61" s="228"/>
    </row>
    <row r="62" spans="2:8" ht="40" customHeight="1" x14ac:dyDescent="0.35">
      <c r="B62" s="228"/>
      <c r="C62" s="228"/>
    </row>
  </sheetData>
  <sheetProtection algorithmName="SHA-512" hashValue="uuA7KexPjEItpr8hgiLioP83JbBkiQ247sYPT0Ko3CnxsaicCwzvWB0m8YuQjcHpI8/cyNJt1h6wp16Fk9AECw==" saltValue="g+3wo2GU5cTHmhNK2DM3Sw==" spinCount="100000" sheet="1" objects="1" scenarios="1" formatCells="0"/>
  <mergeCells count="15">
    <mergeCell ref="B1:C1"/>
    <mergeCell ref="B3:C3"/>
    <mergeCell ref="B17:C17"/>
    <mergeCell ref="B32:C32"/>
    <mergeCell ref="B43:C43"/>
    <mergeCell ref="B14:C14"/>
    <mergeCell ref="B7:C7"/>
    <mergeCell ref="B8:C8"/>
    <mergeCell ref="B54:C54"/>
    <mergeCell ref="B26:C26"/>
    <mergeCell ref="B15:C15"/>
    <mergeCell ref="B53:C53"/>
    <mergeCell ref="B31:C31"/>
    <mergeCell ref="B42:C42"/>
    <mergeCell ref="B16:C16"/>
  </mergeCells>
  <dataValidations disablePrompts="1" count="2">
    <dataValidation type="list" allowBlank="1" showInputMessage="1" showErrorMessage="1" sqref="C23" xr:uid="{9FC08F7F-AC8F-4E9C-967C-C3B1120AA928}">
      <formula1>"Select Option, Agri-Food, Built Environement, Energy, Mobility &amp; Transport, Circular Economy, Water &amp; Sanitation, Nature-based Solutions (NbS), Digital Tools"</formula1>
    </dataValidation>
    <dataValidation type="list" allowBlank="1" showInputMessage="1" showErrorMessage="1" sqref="C5" xr:uid="{36BF37C0-379E-482D-803C-5829B97F5B10}">
      <formula1>"Dropdown Cells"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08E5C-CD7F-449F-A107-C137E680DCA0}">
  <sheetPr codeName="Sheet5">
    <tabColor theme="7" tint="-0.499984740745262"/>
  </sheetPr>
  <dimension ref="B1:I62"/>
  <sheetViews>
    <sheetView showGridLines="0" topLeftCell="A33" zoomScale="55" zoomScaleNormal="55" workbookViewId="0">
      <selection activeCell="B33" sqref="B33:H33"/>
    </sheetView>
  </sheetViews>
  <sheetFormatPr defaultRowHeight="15.5" x14ac:dyDescent="0.35"/>
  <cols>
    <col min="1" max="1" width="9.1796875" style="109" customWidth="1"/>
    <col min="2" max="3" width="47.36328125" style="109" customWidth="1"/>
    <col min="4" max="4" width="37.7265625" style="109" customWidth="1"/>
    <col min="5" max="5" width="47.36328125" style="109" customWidth="1"/>
    <col min="6" max="7" width="27.36328125" style="109" customWidth="1"/>
    <col min="8" max="8" width="42.81640625" style="109" customWidth="1"/>
    <col min="9" max="9" width="24.90625" style="109" bestFit="1" customWidth="1"/>
    <col min="10" max="10" width="34.90625" style="109" customWidth="1"/>
    <col min="11" max="16384" width="8.7265625" style="109"/>
  </cols>
  <sheetData>
    <row r="1" spans="2:8" ht="88" customHeight="1" x14ac:dyDescent="0.35">
      <c r="B1" s="331" t="s">
        <v>561</v>
      </c>
      <c r="C1" s="331"/>
      <c r="D1" s="331"/>
      <c r="E1" s="331"/>
      <c r="F1" s="331"/>
      <c r="G1" s="331"/>
      <c r="H1" s="331"/>
    </row>
    <row r="2" spans="2:8" ht="39.5" customHeight="1" x14ac:dyDescent="0.35">
      <c r="B2" s="357" t="s">
        <v>65</v>
      </c>
      <c r="C2" s="357"/>
      <c r="D2" s="357"/>
      <c r="E2" s="357"/>
      <c r="F2" s="357"/>
      <c r="G2" s="357"/>
      <c r="H2" s="357"/>
    </row>
    <row r="3" spans="2:8" s="181" customFormat="1" ht="60" customHeight="1" x14ac:dyDescent="0.35">
      <c r="B3" s="359" t="str">
        <f>'About this tool'!C40</f>
        <v>This sheet documents the core details of the project being assessed, including its objective, timeline, system boundary, and functional or declared unit. The following sections within this sheet explains why the particular information is required and how it influences the impact assessment.</v>
      </c>
      <c r="C3" s="359"/>
      <c r="D3" s="359"/>
      <c r="E3" s="359"/>
      <c r="F3" s="359"/>
      <c r="G3" s="359"/>
    </row>
    <row r="4" spans="2:8" s="14" customFormat="1" ht="36" x14ac:dyDescent="0.35">
      <c r="B4" s="139" t="s">
        <v>579</v>
      </c>
      <c r="C4" s="202" t="s">
        <v>581</v>
      </c>
      <c r="D4" s="140" t="s">
        <v>591</v>
      </c>
      <c r="E4" s="108" t="s">
        <v>580</v>
      </c>
      <c r="F4" s="114" t="s">
        <v>582</v>
      </c>
      <c r="G4" s="45" t="s">
        <v>583</v>
      </c>
    </row>
    <row r="5" spans="2:8" s="14" customFormat="1" ht="18" x14ac:dyDescent="0.35"/>
    <row r="6" spans="2:8" s="14" customFormat="1" ht="35" customHeight="1" x14ac:dyDescent="0.35">
      <c r="B6" s="324" t="s">
        <v>68</v>
      </c>
      <c r="C6" s="324"/>
      <c r="D6" s="131"/>
      <c r="E6" s="324" t="s">
        <v>74</v>
      </c>
      <c r="F6" s="324"/>
      <c r="G6" s="324"/>
    </row>
    <row r="7" spans="2:8" s="14" customFormat="1" ht="44.5" customHeight="1" x14ac:dyDescent="0.35">
      <c r="B7" s="325" t="s">
        <v>614</v>
      </c>
      <c r="C7" s="325"/>
      <c r="D7" s="50"/>
      <c r="E7" s="325" t="s">
        <v>493</v>
      </c>
      <c r="F7" s="325"/>
      <c r="G7" s="325"/>
    </row>
    <row r="8" spans="2:8" s="14" customFormat="1" ht="25" customHeight="1" x14ac:dyDescent="0.35">
      <c r="B8" s="184" t="s">
        <v>69</v>
      </c>
      <c r="C8" s="319" t="s">
        <v>823</v>
      </c>
      <c r="E8" s="25" t="s">
        <v>75</v>
      </c>
      <c r="F8" s="367" t="s">
        <v>254</v>
      </c>
      <c r="G8" s="368"/>
    </row>
    <row r="9" spans="2:8" s="14" customFormat="1" ht="25" customHeight="1" x14ac:dyDescent="0.35">
      <c r="B9" s="124" t="s">
        <v>70</v>
      </c>
      <c r="C9" s="320" t="s">
        <v>828</v>
      </c>
      <c r="E9" s="24" t="s">
        <v>253</v>
      </c>
      <c r="F9" s="369" t="s">
        <v>255</v>
      </c>
      <c r="G9" s="370"/>
    </row>
    <row r="10" spans="2:8" s="14" customFormat="1" ht="25" customHeight="1" x14ac:dyDescent="0.35">
      <c r="B10" s="124" t="s">
        <v>66</v>
      </c>
      <c r="C10" s="319" t="s">
        <v>829</v>
      </c>
      <c r="E10" s="186" t="s">
        <v>76</v>
      </c>
      <c r="F10" s="371" t="s">
        <v>256</v>
      </c>
      <c r="G10" s="372"/>
    </row>
    <row r="11" spans="2:8" s="14" customFormat="1" ht="25" customHeight="1" x14ac:dyDescent="0.35">
      <c r="B11" s="124" t="s">
        <v>67</v>
      </c>
      <c r="C11" s="319" t="s">
        <v>830</v>
      </c>
      <c r="E11" s="24" t="s">
        <v>59</v>
      </c>
      <c r="F11" s="369" t="s">
        <v>470</v>
      </c>
      <c r="G11" s="370"/>
    </row>
    <row r="12" spans="2:8" s="14" customFormat="1" ht="25" customHeight="1" x14ac:dyDescent="0.35">
      <c r="B12" s="185" t="s">
        <v>492</v>
      </c>
      <c r="C12" s="319" t="s">
        <v>831</v>
      </c>
      <c r="E12" s="24" t="s">
        <v>469</v>
      </c>
      <c r="F12" s="373" t="s">
        <v>470</v>
      </c>
      <c r="G12" s="374"/>
    </row>
    <row r="13" spans="2:8" s="14" customFormat="1" ht="25" customHeight="1" x14ac:dyDescent="0.35">
      <c r="B13" s="223" t="s">
        <v>71</v>
      </c>
      <c r="C13" s="319" t="s">
        <v>832</v>
      </c>
      <c r="E13" s="185" t="s">
        <v>77</v>
      </c>
      <c r="F13" s="321" t="s">
        <v>824</v>
      </c>
      <c r="G13" s="222"/>
    </row>
    <row r="14" spans="2:8" s="14" customFormat="1" ht="25" customHeight="1" x14ac:dyDescent="0.35">
      <c r="B14" s="124" t="s">
        <v>72</v>
      </c>
      <c r="C14" s="319" t="s">
        <v>833</v>
      </c>
    </row>
    <row r="15" spans="2:8" s="14" customFormat="1" ht="25" customHeight="1" x14ac:dyDescent="0.35">
      <c r="B15" s="186" t="s">
        <v>73</v>
      </c>
      <c r="C15" s="221" t="s">
        <v>25</v>
      </c>
    </row>
    <row r="16" spans="2:8" s="14" customFormat="1" ht="18" x14ac:dyDescent="0.35"/>
    <row r="17" spans="2:9" s="14" customFormat="1" ht="35" customHeight="1" x14ac:dyDescent="0.35">
      <c r="B17" s="324" t="s">
        <v>507</v>
      </c>
      <c r="C17" s="324"/>
      <c r="D17" s="131"/>
      <c r="E17" s="324" t="s">
        <v>506</v>
      </c>
      <c r="F17" s="324"/>
      <c r="G17" s="324"/>
      <c r="I17" s="182"/>
    </row>
    <row r="18" spans="2:9" s="14" customFormat="1" ht="91.5" customHeight="1" x14ac:dyDescent="0.35">
      <c r="B18" s="325" t="s">
        <v>638</v>
      </c>
      <c r="C18" s="325"/>
      <c r="E18" s="325" t="s">
        <v>639</v>
      </c>
      <c r="F18" s="325"/>
      <c r="G18" s="325"/>
      <c r="I18" s="183"/>
    </row>
    <row r="19" spans="2:9" s="14" customFormat="1" ht="25" customHeight="1" x14ac:dyDescent="0.35">
      <c r="B19" s="24" t="s">
        <v>636</v>
      </c>
      <c r="C19" s="230" t="s">
        <v>825</v>
      </c>
      <c r="E19" s="24" t="s">
        <v>21</v>
      </c>
      <c r="F19" s="184" t="s">
        <v>53</v>
      </c>
      <c r="G19" s="25" t="s">
        <v>23</v>
      </c>
    </row>
    <row r="20" spans="2:9" s="14" customFormat="1" ht="25" customHeight="1" x14ac:dyDescent="0.35">
      <c r="B20" s="24" t="s">
        <v>501</v>
      </c>
      <c r="C20" s="230" t="s">
        <v>827</v>
      </c>
      <c r="E20" s="124" t="s">
        <v>387</v>
      </c>
      <c r="F20" s="309"/>
      <c r="G20" s="231"/>
    </row>
    <row r="21" spans="2:9" s="14" customFormat="1" ht="25" customHeight="1" x14ac:dyDescent="0.35">
      <c r="B21" s="186" t="s">
        <v>637</v>
      </c>
      <c r="C21" s="221" t="s">
        <v>461</v>
      </c>
      <c r="E21" s="185" t="str">
        <f>IF(C19="Annual Reporting", "Annual Emissions", "Project-level")</f>
        <v>Project-level</v>
      </c>
      <c r="F21" s="309"/>
      <c r="G21" s="231"/>
    </row>
    <row r="22" spans="2:9" s="14" customFormat="1" ht="18" x14ac:dyDescent="0.35"/>
    <row r="23" spans="2:9" s="14" customFormat="1" ht="34.5" customHeight="1" x14ac:dyDescent="0.35">
      <c r="B23" s="124" t="s">
        <v>500</v>
      </c>
      <c r="C23" s="358" t="str">
        <f>IF(C19="Select Scope","Please select a Scope to view description",IF(C19="Annual Reporting",
"GHG emissions all relevant activities within the system boundary during each reporting year measured consistently with the baseline to track performance and impact over time.",
"GHG emissions all relevant activities within the system boundary under the business-as-usual scenario in the baseline year, used as the reference point for impact estimation."
))</f>
        <v>Please select a Scope to view description</v>
      </c>
      <c r="D23" s="358"/>
      <c r="E23" s="358"/>
      <c r="F23" s="358"/>
      <c r="G23" s="358"/>
    </row>
    <row r="24" spans="2:9" s="14" customFormat="1" ht="34.5" customHeight="1" x14ac:dyDescent="0.35">
      <c r="B24" s="124" t="s">
        <v>505</v>
      </c>
      <c r="C24" s="358" t="str">
        <f>IF(C19="Select Scope","Please select a Scope to view instructions to fill in this tool",IF(C19="Annual Reporting",
"Please only select the Reporting year and fill the Project Level Inventory for estimating the Annual GHG estimations for that particular Reporting year. Please manually fill in 'XXX' in the Baseline Functional Unit",
"Please select both the Base and Reporting year. Please fill both the Baseline and Project level inventory for estimating the Baseline Project Level GHG estimations"
))</f>
        <v>Please select a Scope to view instructions to fill in this tool</v>
      </c>
      <c r="D24" s="358"/>
      <c r="E24" s="358"/>
      <c r="F24" s="358"/>
      <c r="G24" s="358"/>
    </row>
    <row r="25" spans="2:9" s="14" customFormat="1" ht="55" customHeight="1" x14ac:dyDescent="0.35">
      <c r="B25" s="185" t="s">
        <v>501</v>
      </c>
      <c r="C25" s="358" t="str" cm="1">
        <f t="array" ref="C25">_xlfn.IFS(
  C20="Select Boundary",
  "Please select a system boundary to view the scope description.",
  C20="Cradle-to-Gate",
  "Includes emissions from raw material extraction through product manufacturing up to the factory gate. Exclude the End-of Life treatment phase in the Inventory list",
  C20="Cradle-to-Gate + Distribution",
  "Includes emissions from raw material extraction through manufacturing and downstream distribution to the point of sale or delivery. Exclude the End-of Life treatment phase in the Inventory list",
  C20="Cradle-to-Grave",
  "Includes emissions across the full life cycle, from raw material extraction through manufacturing, distribution, use, and end-of-life treatment."
)</f>
        <v>Please select a system boundary to view the scope description.</v>
      </c>
      <c r="D25" s="358"/>
      <c r="E25" s="358"/>
      <c r="F25" s="358"/>
      <c r="G25" s="358"/>
    </row>
    <row r="26" spans="2:9" s="14" customFormat="1" ht="18" x14ac:dyDescent="0.35"/>
    <row r="27" spans="2:9" s="14" customFormat="1" ht="24.5" customHeight="1" x14ac:dyDescent="0.35">
      <c r="B27" s="205" t="s">
        <v>481</v>
      </c>
      <c r="C27" s="205" t="str">
        <f>C21</f>
        <v>IPCC Fourth Assessment Report</v>
      </c>
    </row>
    <row r="28" spans="2:9" s="14" customFormat="1" ht="24.5" customHeight="1" x14ac:dyDescent="0.35">
      <c r="B28" s="203" t="s">
        <v>404</v>
      </c>
      <c r="C28" s="203">
        <f>_xlfn.XLOOKUP($C$21,IPCC_GWP_table[GWP_values_list],IPCC_GWP_table[CO₂])</f>
        <v>1</v>
      </c>
    </row>
    <row r="29" spans="2:9" s="14" customFormat="1" ht="24.5" customHeight="1" x14ac:dyDescent="0.35">
      <c r="B29" s="204" t="s">
        <v>405</v>
      </c>
      <c r="C29" s="203">
        <f>_xlfn.XLOOKUP($C$21,IPCC_GWP_table[GWP_values_list],IPCC_GWP_table[CH₄])</f>
        <v>25</v>
      </c>
      <c r="D29" s="16"/>
    </row>
    <row r="30" spans="2:9" s="14" customFormat="1" ht="24.5" customHeight="1" x14ac:dyDescent="0.35">
      <c r="B30" s="204" t="s">
        <v>406</v>
      </c>
      <c r="C30" s="203">
        <f>_xlfn.XLOOKUP($C$21,IPCC_GWP_table[GWP_values_list],IPCC_GWP_table[N₂O])</f>
        <v>298</v>
      </c>
      <c r="D30" s="16"/>
    </row>
    <row r="31" spans="2:9" s="14" customFormat="1" ht="18" x14ac:dyDescent="0.35">
      <c r="B31" s="16"/>
      <c r="C31" s="16"/>
      <c r="D31" s="16"/>
      <c r="E31" s="16"/>
      <c r="F31" s="16"/>
    </row>
    <row r="32" spans="2:9" s="181" customFormat="1" ht="35" customHeight="1" x14ac:dyDescent="0.35">
      <c r="B32" s="324" t="s">
        <v>490</v>
      </c>
      <c r="C32" s="324"/>
      <c r="D32" s="324"/>
      <c r="E32" s="324"/>
      <c r="F32" s="324"/>
      <c r="G32" s="324"/>
      <c r="H32" s="324"/>
    </row>
    <row r="33" spans="2:8" s="14" customFormat="1" ht="101.5" customHeight="1" x14ac:dyDescent="0.35">
      <c r="B33" s="325" t="s">
        <v>510</v>
      </c>
      <c r="C33" s="325"/>
      <c r="D33" s="325"/>
      <c r="E33" s="325"/>
      <c r="F33" s="325"/>
      <c r="G33" s="325"/>
      <c r="H33" s="325"/>
    </row>
    <row r="34" spans="2:8" s="14" customFormat="1" ht="25" customHeight="1" x14ac:dyDescent="0.35">
      <c r="B34" s="252" t="s">
        <v>465</v>
      </c>
      <c r="C34" s="120" t="s">
        <v>466</v>
      </c>
      <c r="E34" s="27" t="s">
        <v>817</v>
      </c>
      <c r="F34" s="360" t="s">
        <v>457</v>
      </c>
      <c r="G34" s="361"/>
      <c r="H34" s="361"/>
    </row>
    <row r="35" spans="2:8" s="14" customFormat="1" ht="25" customHeight="1" x14ac:dyDescent="0.35">
      <c r="B35" s="24" t="s">
        <v>64</v>
      </c>
      <c r="C35" s="221" t="s">
        <v>826</v>
      </c>
    </row>
    <row r="36" spans="2:8" s="14" customFormat="1" ht="18" x14ac:dyDescent="0.35"/>
    <row r="37" spans="2:8" s="14" customFormat="1" ht="28.5" customHeight="1" x14ac:dyDescent="0.35">
      <c r="B37" s="365" t="s">
        <v>477</v>
      </c>
      <c r="C37" s="362" t="s">
        <v>483</v>
      </c>
      <c r="D37" s="363"/>
      <c r="E37" s="364" t="s">
        <v>484</v>
      </c>
      <c r="F37" s="363"/>
      <c r="G37" s="24" t="s">
        <v>380</v>
      </c>
      <c r="H37" s="375" t="s">
        <v>667</v>
      </c>
    </row>
    <row r="38" spans="2:8" s="33" customFormat="1" ht="40.5" customHeight="1" x14ac:dyDescent="0.35">
      <c r="B38" s="366"/>
      <c r="C38" s="206" t="s">
        <v>479</v>
      </c>
      <c r="D38" s="68" t="str">
        <f>"Fuel used
litre (or kWH)/"&amp;$C$35</f>
        <v>Fuel used
litre (or kWH)/Select FU</v>
      </c>
      <c r="E38" s="207" t="s">
        <v>42</v>
      </c>
      <c r="F38" s="208" t="str">
        <f>"Distance 
km/"&amp;$C$35</f>
        <v>Distance 
km/Select FU</v>
      </c>
      <c r="G38" s="206" t="str">
        <f>"kg-CO₂/"&amp;$C$35</f>
        <v>kg-CO₂/Select FU</v>
      </c>
      <c r="H38" s="375"/>
    </row>
    <row r="39" spans="2:8" s="14" customFormat="1" ht="25" customHeight="1" x14ac:dyDescent="0.35">
      <c r="B39" s="232" t="s">
        <v>376</v>
      </c>
      <c r="C39" s="233" t="s">
        <v>25</v>
      </c>
      <c r="D39" s="234">
        <v>0</v>
      </c>
      <c r="E39" s="235" t="s">
        <v>25</v>
      </c>
      <c r="F39" s="234">
        <v>0</v>
      </c>
      <c r="G39" s="304">
        <f>(VLOOKUP(C39,FtG_table[],2,FALSE)*D39)+(VLOOKUP(E39,FtG_table[],2,FALSE)*(F39)*0.001)</f>
        <v>0</v>
      </c>
      <c r="H39" s="354" t="s">
        <v>816</v>
      </c>
    </row>
    <row r="40" spans="2:8" s="14" customFormat="1" ht="25" customHeight="1" x14ac:dyDescent="0.35">
      <c r="B40" s="236" t="s">
        <v>376</v>
      </c>
      <c r="C40" s="237" t="s">
        <v>25</v>
      </c>
      <c r="D40" s="234">
        <v>0</v>
      </c>
      <c r="E40" s="238" t="s">
        <v>25</v>
      </c>
      <c r="F40" s="234">
        <v>0</v>
      </c>
      <c r="G40" s="304">
        <f>(VLOOKUP(C40,FtG_table[],2,FALSE)*D40)+(VLOOKUP(E40,FtG_table[],2,FALSE)*(F40/1000))</f>
        <v>0</v>
      </c>
      <c r="H40" s="355"/>
    </row>
    <row r="41" spans="2:8" s="14" customFormat="1" ht="25" customHeight="1" x14ac:dyDescent="0.35">
      <c r="B41" s="239" t="s">
        <v>376</v>
      </c>
      <c r="C41" s="240" t="s">
        <v>25</v>
      </c>
      <c r="D41" s="234">
        <v>0</v>
      </c>
      <c r="E41" s="241" t="s">
        <v>25</v>
      </c>
      <c r="F41" s="234">
        <v>0</v>
      </c>
      <c r="G41" s="304">
        <f>(VLOOKUP(C41,FtG_table[],2,FALSE)*D41)+(VLOOKUP(E41,FtG_table[],2,FALSE)*(F41/1000))</f>
        <v>0</v>
      </c>
      <c r="H41" s="355"/>
    </row>
    <row r="42" spans="2:8" s="14" customFormat="1" ht="25" customHeight="1" x14ac:dyDescent="0.35">
      <c r="B42" s="242" t="s">
        <v>376</v>
      </c>
      <c r="C42" s="240" t="s">
        <v>25</v>
      </c>
      <c r="D42" s="234">
        <v>0</v>
      </c>
      <c r="E42" s="238" t="s">
        <v>25</v>
      </c>
      <c r="F42" s="234">
        <v>0</v>
      </c>
      <c r="G42" s="304">
        <f>(VLOOKUP(C42,FtG_table[],2,FALSE)*D42)+(VLOOKUP(E42,FtG_table[],2,FALSE)*(F42/1000))</f>
        <v>0</v>
      </c>
      <c r="H42" s="355"/>
    </row>
    <row r="43" spans="2:8" s="14" customFormat="1" ht="25" customHeight="1" x14ac:dyDescent="0.35">
      <c r="B43" s="242" t="s">
        <v>376</v>
      </c>
      <c r="C43" s="240" t="s">
        <v>25</v>
      </c>
      <c r="D43" s="234">
        <v>0</v>
      </c>
      <c r="E43" s="241" t="s">
        <v>25</v>
      </c>
      <c r="F43" s="234">
        <v>0</v>
      </c>
      <c r="G43" s="304">
        <f>(VLOOKUP(C43,FtG_table[],2,FALSE)*D43)+(VLOOKUP(E43,FtG_table[],2,FALSE)*(F43/1000))</f>
        <v>0</v>
      </c>
      <c r="H43" s="356"/>
    </row>
    <row r="46" spans="2:8" x14ac:dyDescent="0.35">
      <c r="F46" s="133"/>
    </row>
    <row r="47" spans="2:8" x14ac:dyDescent="0.35">
      <c r="D47" s="133"/>
    </row>
    <row r="48" spans="2:8" x14ac:dyDescent="0.35">
      <c r="D48" s="133"/>
    </row>
    <row r="54" spans="3:5" x14ac:dyDescent="0.35">
      <c r="C54" s="134"/>
      <c r="D54" s="134"/>
      <c r="E54" s="133"/>
    </row>
    <row r="56" spans="3:5" x14ac:dyDescent="0.35">
      <c r="D56" s="133"/>
      <c r="E56" s="133"/>
    </row>
    <row r="58" spans="3:5" x14ac:dyDescent="0.35">
      <c r="C58" s="134"/>
      <c r="D58" s="134"/>
      <c r="E58" s="133"/>
    </row>
    <row r="59" spans="3:5" x14ac:dyDescent="0.35">
      <c r="E59" s="133"/>
    </row>
    <row r="60" spans="3:5" x14ac:dyDescent="0.35">
      <c r="D60" s="133"/>
    </row>
    <row r="62" spans="3:5" x14ac:dyDescent="0.35">
      <c r="E62" s="133"/>
    </row>
  </sheetData>
  <sheetProtection algorithmName="SHA-512" hashValue="tVIZXVV6g8DZuTHQk5ZvqC2kIA3YyXUEXkpB2sWqhSgk76NOMB1OT63JU6fQlSajEXZgzpfVE8vt6gL2QmcpMQ==" saltValue="xqOEgRjfvu1FgsZWCar/Yg==" spinCount="100000" sheet="1" formatCells="0"/>
  <mergeCells count="27">
    <mergeCell ref="B1:H1"/>
    <mergeCell ref="C37:D37"/>
    <mergeCell ref="E37:F37"/>
    <mergeCell ref="B37:B38"/>
    <mergeCell ref="B7:C7"/>
    <mergeCell ref="E7:G7"/>
    <mergeCell ref="B18:C18"/>
    <mergeCell ref="E18:G18"/>
    <mergeCell ref="C23:G23"/>
    <mergeCell ref="F8:G8"/>
    <mergeCell ref="F9:G9"/>
    <mergeCell ref="F10:G10"/>
    <mergeCell ref="F11:G11"/>
    <mergeCell ref="F12:G12"/>
    <mergeCell ref="C25:G25"/>
    <mergeCell ref="H37:H38"/>
    <mergeCell ref="H39:H43"/>
    <mergeCell ref="B33:H33"/>
    <mergeCell ref="B32:H32"/>
    <mergeCell ref="B2:H2"/>
    <mergeCell ref="C24:G24"/>
    <mergeCell ref="E17:G17"/>
    <mergeCell ref="E6:G6"/>
    <mergeCell ref="B17:C17"/>
    <mergeCell ref="B6:C6"/>
    <mergeCell ref="B3:G3"/>
    <mergeCell ref="F34:H34"/>
  </mergeCells>
  <dataValidations count="5">
    <dataValidation type="list" allowBlank="1" showInputMessage="1" showErrorMessage="1" sqref="C15" xr:uid="{8B1A621D-BBD9-400B-B533-BEBF9F4F51CA}">
      <formula1>"Select Option, Design, Implementation, Completed, Other"</formula1>
    </dataValidation>
    <dataValidation type="list" allowBlank="1" showInputMessage="1" showErrorMessage="1" sqref="C19" xr:uid="{6DABC46C-D30B-4595-B8F3-445D9E3A7B98}">
      <formula1>"Select Scope, Annual Reporting, Baseline Project Level Reporting"</formula1>
    </dataValidation>
    <dataValidation type="list" allowBlank="1" showInputMessage="1" showErrorMessage="1" sqref="C35" xr:uid="{9A8ABA0E-4CE4-4465-B1D6-984BB6CA66A7}">
      <formula1>"Select FU, 1 kg-dry, 1 tonne-dry"</formula1>
    </dataValidation>
    <dataValidation type="list" allowBlank="1" showInputMessage="1" showErrorMessage="1" sqref="C20" xr:uid="{D8652D01-D344-4384-9356-17548EDA1F2D}">
      <formula1>"Select Boundary, Cradle-to-Gate, Cradle-to-Gate + Distribution, Cradle-to-Gate, Cradle-to-Grave"</formula1>
    </dataValidation>
    <dataValidation type="list" allowBlank="1" showInputMessage="1" showErrorMessage="1" sqref="E4" xr:uid="{F6D2A778-0A9E-48A4-8597-D5F2684CB9C8}">
      <formula1>"Dropdown Cells"</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1AF12F8-2B21-4DF6-93A4-04CF33738FCD}">
          <x14:formula1>
            <xm:f>_xlfn.ANCHORARRAY('Tool - EFs &amp; Helpers'!$AC$120)</xm:f>
          </x14:formula1>
          <xm:sqref>B39:B43</xm:sqref>
        </x14:dataValidation>
        <x14:dataValidation type="list" allowBlank="1" showInputMessage="1" showErrorMessage="1" xr:uid="{B9CEFAFE-67B4-463B-89C6-D0C6CFB377FF}">
          <x14:formula1>
            <xm:f>_xlfn.ANCHORARRAY('Tool - EFs &amp; Helpers'!$T$5)</xm:f>
          </x14:formula1>
          <xm:sqref>C21</xm:sqref>
        </x14:dataValidation>
        <x14:dataValidation type="list" allowBlank="1" showInputMessage="1" showErrorMessage="1" xr:uid="{B049EC34-6092-4184-813E-25BF099127E3}">
          <x14:formula1>
            <xm:f>_xlfn.ANCHORARRAY('Tool - EFs &amp; Helpers'!$F$5)</xm:f>
          </x14:formula1>
          <xm:sqref>F8</xm:sqref>
        </x14:dataValidation>
        <x14:dataValidation type="list" allowBlank="1" showInputMessage="1" showErrorMessage="1" xr:uid="{BF34DF81-54C0-49A3-8876-6E6A9E891110}">
          <x14:formula1>
            <xm:f>_xlfn.ANCHORARRAY('Tool - EFs &amp; Helpers'!$H$5)</xm:f>
          </x14:formula1>
          <xm:sqref>F10</xm:sqref>
        </x14:dataValidation>
        <x14:dataValidation type="list" allowBlank="1" showInputMessage="1" showErrorMessage="1" xr:uid="{EF4E42B1-26FF-4670-88B4-0170043A2FAE}">
          <x14:formula1>
            <xm:f>_xlfn.ANCHORARRAY('Tool - EFs &amp; Helpers'!$G$5)</xm:f>
          </x14:formula1>
          <xm:sqref>F9</xm:sqref>
        </x14:dataValidation>
        <x14:dataValidation type="list" allowBlank="1" showInputMessage="1" showErrorMessage="1" xr:uid="{7C6ACE98-7D6B-4467-8EB4-B4A5B3D1DC21}">
          <x14:formula1>
            <xm:f>'Tool - EFs &amp; Helpers'!$J$65:$J$115</xm:f>
          </x14:formula1>
          <xm:sqref>F12</xm:sqref>
        </x14:dataValidation>
        <x14:dataValidation type="list" allowBlank="1" showInputMessage="1" showErrorMessage="1" xr:uid="{F5EC6A69-1131-4EC1-A571-7ACE155A27DA}">
          <x14:formula1>
            <xm:f>'Tool - EFs &amp; Helpers'!$J$65:$J$116</xm:f>
          </x14:formula1>
          <xm:sqref>F11</xm:sqref>
        </x14:dataValidation>
        <x14:dataValidation type="list" allowBlank="1" showInputMessage="1" showErrorMessage="1" xr:uid="{1B8BD11D-9225-4687-9A71-E1F02DAE37A5}">
          <x14:formula1>
            <xm:f>_xlfn.ANCHORARRAY('Tool - EFs &amp; Helpers'!$T$123)</xm:f>
          </x14:formula1>
          <xm:sqref>E39:E43</xm:sqref>
        </x14:dataValidation>
        <x14:dataValidation type="list" allowBlank="1" showInputMessage="1" showErrorMessage="1" xr:uid="{28A39CC3-8926-4784-80B8-8F6741CD24C1}">
          <x14:formula1>
            <xm:f>'Tool - EFs &amp; Helpers'!$P$123:$P$127</xm:f>
          </x14:formula1>
          <xm:sqref>C39:C43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68B69-AC8A-42EF-8071-EA59CC462CAA}">
  <sheetPr codeName="Sheet7">
    <tabColor theme="6" tint="-0.499984740745262"/>
  </sheetPr>
  <dimension ref="A1:I67"/>
  <sheetViews>
    <sheetView showGridLines="0" topLeftCell="A46" zoomScale="55" zoomScaleNormal="55" workbookViewId="0">
      <selection activeCell="G69" sqref="G69"/>
    </sheetView>
  </sheetViews>
  <sheetFormatPr defaultRowHeight="18" x14ac:dyDescent="0.35"/>
  <cols>
    <col min="1" max="1" width="9.1796875" style="109" customWidth="1"/>
    <col min="2" max="2" width="59.08984375" style="33" customWidth="1"/>
    <col min="3" max="3" width="40.81640625" style="14" customWidth="1"/>
    <col min="4" max="5" width="40.90625" style="14" customWidth="1"/>
    <col min="6" max="7" width="31.7265625" style="14" customWidth="1"/>
    <col min="8" max="8" width="31.7265625" style="16" customWidth="1"/>
    <col min="9" max="9" width="65.453125" style="14" customWidth="1"/>
    <col min="10" max="16384" width="8.7265625" style="14"/>
  </cols>
  <sheetData>
    <row r="1" spans="1:9" ht="73" customHeight="1" x14ac:dyDescent="0.35">
      <c r="B1" s="331" t="s">
        <v>561</v>
      </c>
      <c r="C1" s="331"/>
      <c r="D1" s="331"/>
      <c r="E1" s="331"/>
      <c r="F1" s="331"/>
      <c r="G1" s="331"/>
      <c r="H1" s="331"/>
      <c r="I1" s="331"/>
    </row>
    <row r="2" spans="1:9" ht="29.5" customHeight="1" x14ac:dyDescent="0.35">
      <c r="B2" s="357" t="s">
        <v>393</v>
      </c>
      <c r="C2" s="357"/>
      <c r="D2" s="357"/>
      <c r="E2" s="357"/>
      <c r="F2" s="357"/>
      <c r="G2" s="357"/>
      <c r="H2" s="357"/>
      <c r="I2" s="357"/>
    </row>
    <row r="3" spans="1:9" ht="20.5" x14ac:dyDescent="0.35">
      <c r="A3" s="181"/>
      <c r="B3" s="384" t="str">
        <f>'About this tool'!C46</f>
        <v>This sheet records all activity data associated with the baseline/business-as-usual scenario, including materials, energy use, transportation, and other relevant inputs. It forms the foundation for baseline emissions calculations.</v>
      </c>
      <c r="C3" s="384"/>
      <c r="D3" s="384"/>
      <c r="E3" s="384"/>
      <c r="F3" s="384"/>
      <c r="G3" s="384"/>
      <c r="H3" s="384"/>
    </row>
    <row r="4" spans="1:9" x14ac:dyDescent="0.35">
      <c r="G4" s="16"/>
    </row>
    <row r="5" spans="1:9" x14ac:dyDescent="0.35">
      <c r="A5" s="14"/>
      <c r="B5" s="96" t="str">
        <f>'Project Description'!B19</f>
        <v>Scope</v>
      </c>
      <c r="C5" s="216" t="str">
        <f>'Project Description'!C19</f>
        <v>Select Scope</v>
      </c>
      <c r="D5" s="16"/>
      <c r="G5" s="113" t="s">
        <v>579</v>
      </c>
      <c r="H5" s="114" t="s">
        <v>582</v>
      </c>
    </row>
    <row r="6" spans="1:9" ht="36" x14ac:dyDescent="0.35">
      <c r="A6" s="14"/>
      <c r="B6" s="96" t="str">
        <f>'Project Description'!B20</f>
        <v>System Boundary</v>
      </c>
      <c r="C6" s="216" t="str">
        <f>'Project Description'!C20</f>
        <v>Select Boundary</v>
      </c>
      <c r="D6" s="16"/>
      <c r="G6" s="45" t="s">
        <v>583</v>
      </c>
      <c r="H6" s="107" t="s">
        <v>580</v>
      </c>
    </row>
    <row r="7" spans="1:9" ht="18" customHeight="1" x14ac:dyDescent="0.35">
      <c r="A7" s="14"/>
      <c r="B7" s="96" t="str">
        <f>'Project Description'!E11</f>
        <v>Base Year</v>
      </c>
      <c r="C7" s="217" t="str">
        <f>'Project Description'!F11</f>
        <v>Please Select Year</v>
      </c>
      <c r="D7" s="16"/>
      <c r="G7" s="13"/>
    </row>
    <row r="8" spans="1:9" ht="18" customHeight="1" x14ac:dyDescent="0.35">
      <c r="A8" s="14"/>
      <c r="B8" s="96" t="s">
        <v>394</v>
      </c>
      <c r="C8" s="216">
        <f>'Project Description'!F20</f>
        <v>0</v>
      </c>
      <c r="D8" s="218">
        <f>'Project Description'!G20</f>
        <v>0</v>
      </c>
      <c r="G8" s="13"/>
    </row>
    <row r="9" spans="1:9" x14ac:dyDescent="0.35">
      <c r="A9" s="14"/>
      <c r="B9" s="52"/>
      <c r="C9" s="38"/>
      <c r="G9" s="16"/>
    </row>
    <row r="10" spans="1:9" s="15" customFormat="1" ht="35" customHeight="1" x14ac:dyDescent="0.35">
      <c r="A10" s="14"/>
      <c r="B10" s="324" t="s">
        <v>674</v>
      </c>
      <c r="C10" s="324"/>
      <c r="D10" s="324"/>
      <c r="E10" s="324"/>
      <c r="F10" s="324"/>
      <c r="G10" s="324"/>
      <c r="H10" s="324"/>
      <c r="I10" s="324"/>
    </row>
    <row r="11" spans="1:9" s="15" customFormat="1" ht="35" customHeight="1" x14ac:dyDescent="0.35">
      <c r="A11" s="14"/>
      <c r="B11" s="382" t="s">
        <v>585</v>
      </c>
      <c r="C11" s="382"/>
      <c r="D11" s="382"/>
      <c r="E11" s="382"/>
      <c r="F11" s="382"/>
      <c r="G11" s="382"/>
      <c r="H11" s="382"/>
      <c r="I11" s="382"/>
    </row>
    <row r="12" spans="1:9" s="16" customFormat="1" ht="25" customHeight="1" x14ac:dyDescent="0.35">
      <c r="A12" s="14"/>
      <c r="B12" s="27" t="s">
        <v>21</v>
      </c>
      <c r="C12" s="340" t="s">
        <v>51</v>
      </c>
      <c r="D12" s="340"/>
      <c r="E12" s="24" t="s">
        <v>52</v>
      </c>
      <c r="F12" s="25" t="s">
        <v>53</v>
      </c>
      <c r="G12" s="184" t="s">
        <v>54</v>
      </c>
      <c r="H12" s="385" t="s">
        <v>379</v>
      </c>
      <c r="I12" s="385"/>
    </row>
    <row r="13" spans="1:9" ht="25" customHeight="1" x14ac:dyDescent="0.35">
      <c r="A13" s="14"/>
      <c r="B13" s="389" t="str">
        <f>"Raw Material Extraction &amp; Use in the Product Innovation - "&amp;$C$8 &amp; " " &amp; $D$8</f>
        <v>Raw Material Extraction &amp; Use in the Product Innovation - 0 0</v>
      </c>
      <c r="C13" s="383" t="s">
        <v>375</v>
      </c>
      <c r="D13" s="383"/>
      <c r="E13" s="237" t="s">
        <v>376</v>
      </c>
      <c r="F13" s="243">
        <v>0</v>
      </c>
      <c r="G13" s="117" t="str">
        <f xml:space="preserve"> "kg/"&amp;$C$8 &amp; " " &amp; $D$8</f>
        <v>kg/0 0</v>
      </c>
      <c r="H13" s="376"/>
      <c r="I13" s="377"/>
    </row>
    <row r="14" spans="1:9" ht="25" customHeight="1" x14ac:dyDescent="0.35">
      <c r="A14" s="14"/>
      <c r="B14" s="389"/>
      <c r="C14" s="383" t="s">
        <v>375</v>
      </c>
      <c r="D14" s="383"/>
      <c r="E14" s="237" t="s">
        <v>376</v>
      </c>
      <c r="F14" s="243">
        <v>0</v>
      </c>
      <c r="G14" s="117" t="str">
        <f t="shared" ref="G14:G28" si="0" xml:space="preserve"> "kg/"&amp;$C$8 &amp; " " &amp; $D$8</f>
        <v>kg/0 0</v>
      </c>
      <c r="H14" s="378"/>
      <c r="I14" s="379"/>
    </row>
    <row r="15" spans="1:9" ht="25" customHeight="1" x14ac:dyDescent="0.35">
      <c r="A15" s="14"/>
      <c r="B15" s="389"/>
      <c r="C15" s="383" t="s">
        <v>375</v>
      </c>
      <c r="D15" s="383"/>
      <c r="E15" s="237" t="s">
        <v>376</v>
      </c>
      <c r="F15" s="243">
        <v>0</v>
      </c>
      <c r="G15" s="117" t="str">
        <f t="shared" si="0"/>
        <v>kg/0 0</v>
      </c>
      <c r="H15" s="378"/>
      <c r="I15" s="379"/>
    </row>
    <row r="16" spans="1:9" ht="25" customHeight="1" x14ac:dyDescent="0.35">
      <c r="A16" s="14"/>
      <c r="B16" s="389"/>
      <c r="C16" s="383" t="s">
        <v>375</v>
      </c>
      <c r="D16" s="383"/>
      <c r="E16" s="237" t="s">
        <v>376</v>
      </c>
      <c r="F16" s="243">
        <v>0</v>
      </c>
      <c r="G16" s="117" t="str">
        <f t="shared" si="0"/>
        <v>kg/0 0</v>
      </c>
      <c r="H16" s="378"/>
      <c r="I16" s="379"/>
    </row>
    <row r="17" spans="1:9" ht="25" customHeight="1" x14ac:dyDescent="0.35">
      <c r="A17" s="14"/>
      <c r="B17" s="389"/>
      <c r="C17" s="383" t="s">
        <v>375</v>
      </c>
      <c r="D17" s="383"/>
      <c r="E17" s="237" t="s">
        <v>376</v>
      </c>
      <c r="F17" s="243">
        <v>0</v>
      </c>
      <c r="G17" s="117" t="str">
        <f t="shared" si="0"/>
        <v>kg/0 0</v>
      </c>
      <c r="H17" s="378"/>
      <c r="I17" s="379"/>
    </row>
    <row r="18" spans="1:9" ht="25" customHeight="1" x14ac:dyDescent="0.35">
      <c r="A18" s="14"/>
      <c r="B18" s="389"/>
      <c r="C18" s="383" t="s">
        <v>375</v>
      </c>
      <c r="D18" s="383"/>
      <c r="E18" s="237" t="s">
        <v>376</v>
      </c>
      <c r="F18" s="243">
        <v>0</v>
      </c>
      <c r="G18" s="117" t="str">
        <f t="shared" si="0"/>
        <v>kg/0 0</v>
      </c>
      <c r="H18" s="378"/>
      <c r="I18" s="379"/>
    </row>
    <row r="19" spans="1:9" ht="25" customHeight="1" x14ac:dyDescent="0.35">
      <c r="A19" s="14"/>
      <c r="B19" s="389"/>
      <c r="C19" s="383" t="s">
        <v>375</v>
      </c>
      <c r="D19" s="383"/>
      <c r="E19" s="237" t="s">
        <v>376</v>
      </c>
      <c r="F19" s="243">
        <v>0</v>
      </c>
      <c r="G19" s="117" t="str">
        <f t="shared" si="0"/>
        <v>kg/0 0</v>
      </c>
      <c r="H19" s="378"/>
      <c r="I19" s="379"/>
    </row>
    <row r="20" spans="1:9" ht="25" customHeight="1" x14ac:dyDescent="0.35">
      <c r="A20" s="14"/>
      <c r="B20" s="389"/>
      <c r="C20" s="383" t="s">
        <v>375</v>
      </c>
      <c r="D20" s="383"/>
      <c r="E20" s="237" t="s">
        <v>376</v>
      </c>
      <c r="F20" s="243">
        <v>0</v>
      </c>
      <c r="G20" s="117" t="str">
        <f t="shared" si="0"/>
        <v>kg/0 0</v>
      </c>
      <c r="H20" s="378"/>
      <c r="I20" s="379"/>
    </row>
    <row r="21" spans="1:9" ht="25" customHeight="1" x14ac:dyDescent="0.35">
      <c r="A21" s="14"/>
      <c r="B21" s="389"/>
      <c r="C21" s="383" t="s">
        <v>375</v>
      </c>
      <c r="D21" s="383"/>
      <c r="E21" s="237" t="s">
        <v>376</v>
      </c>
      <c r="F21" s="243">
        <v>0</v>
      </c>
      <c r="G21" s="117" t="str">
        <f t="shared" si="0"/>
        <v>kg/0 0</v>
      </c>
      <c r="H21" s="378"/>
      <c r="I21" s="379"/>
    </row>
    <row r="22" spans="1:9" ht="25" customHeight="1" x14ac:dyDescent="0.35">
      <c r="A22" s="14"/>
      <c r="B22" s="389"/>
      <c r="C22" s="383" t="s">
        <v>375</v>
      </c>
      <c r="D22" s="383"/>
      <c r="E22" s="237" t="s">
        <v>376</v>
      </c>
      <c r="F22" s="243">
        <v>0</v>
      </c>
      <c r="G22" s="117" t="str">
        <f t="shared" si="0"/>
        <v>kg/0 0</v>
      </c>
      <c r="H22" s="378"/>
      <c r="I22" s="379"/>
    </row>
    <row r="23" spans="1:9" ht="25" customHeight="1" x14ac:dyDescent="0.35">
      <c r="A23" s="14"/>
      <c r="B23" s="389"/>
      <c r="C23" s="383" t="s">
        <v>375</v>
      </c>
      <c r="D23" s="383"/>
      <c r="E23" s="237" t="s">
        <v>376</v>
      </c>
      <c r="F23" s="243">
        <v>0</v>
      </c>
      <c r="G23" s="117" t="str">
        <f t="shared" si="0"/>
        <v>kg/0 0</v>
      </c>
      <c r="H23" s="378"/>
      <c r="I23" s="379"/>
    </row>
    <row r="24" spans="1:9" ht="25" customHeight="1" x14ac:dyDescent="0.35">
      <c r="A24" s="14"/>
      <c r="B24" s="389"/>
      <c r="C24" s="383" t="s">
        <v>375</v>
      </c>
      <c r="D24" s="383"/>
      <c r="E24" s="237" t="s">
        <v>376</v>
      </c>
      <c r="F24" s="243">
        <v>0</v>
      </c>
      <c r="G24" s="117" t="str">
        <f t="shared" si="0"/>
        <v>kg/0 0</v>
      </c>
      <c r="H24" s="378"/>
      <c r="I24" s="379"/>
    </row>
    <row r="25" spans="1:9" ht="25" customHeight="1" x14ac:dyDescent="0.35">
      <c r="A25" s="14"/>
      <c r="B25" s="389"/>
      <c r="C25" s="383" t="s">
        <v>375</v>
      </c>
      <c r="D25" s="383"/>
      <c r="E25" s="237" t="s">
        <v>376</v>
      </c>
      <c r="F25" s="243">
        <v>0</v>
      </c>
      <c r="G25" s="117" t="str">
        <f t="shared" si="0"/>
        <v>kg/0 0</v>
      </c>
      <c r="H25" s="378"/>
      <c r="I25" s="379"/>
    </row>
    <row r="26" spans="1:9" ht="25" customHeight="1" x14ac:dyDescent="0.35">
      <c r="A26" s="14"/>
      <c r="B26" s="389"/>
      <c r="C26" s="383" t="s">
        <v>375</v>
      </c>
      <c r="D26" s="383"/>
      <c r="E26" s="237" t="s">
        <v>376</v>
      </c>
      <c r="F26" s="243">
        <v>0</v>
      </c>
      <c r="G26" s="117" t="str">
        <f t="shared" si="0"/>
        <v>kg/0 0</v>
      </c>
      <c r="H26" s="378"/>
      <c r="I26" s="379"/>
    </row>
    <row r="27" spans="1:9" ht="25" customHeight="1" x14ac:dyDescent="0.35">
      <c r="A27" s="14"/>
      <c r="B27" s="389"/>
      <c r="C27" s="383" t="s">
        <v>375</v>
      </c>
      <c r="D27" s="383"/>
      <c r="E27" s="237" t="s">
        <v>376</v>
      </c>
      <c r="F27" s="244">
        <v>0</v>
      </c>
      <c r="G27" s="117" t="str">
        <f t="shared" si="0"/>
        <v>kg/0 0</v>
      </c>
      <c r="H27" s="378"/>
      <c r="I27" s="379"/>
    </row>
    <row r="28" spans="1:9" ht="25" customHeight="1" x14ac:dyDescent="0.35">
      <c r="A28" s="14"/>
      <c r="B28" s="389" t="str">
        <f>"Raw Material Extraction &amp; Use in the Product Innovation - Total - "&amp;$C$8 &amp; " " &amp; $D$8</f>
        <v>Raw Material Extraction &amp; Use in the Product Innovation - Total - 0 0</v>
      </c>
      <c r="C28" s="389"/>
      <c r="D28" s="389"/>
      <c r="E28" s="405"/>
      <c r="F28" s="44">
        <f>SUM(F13:F27)</f>
        <v>0</v>
      </c>
      <c r="G28" s="117" t="str">
        <f t="shared" si="0"/>
        <v>kg/0 0</v>
      </c>
      <c r="H28" s="380"/>
      <c r="I28" s="381"/>
    </row>
    <row r="29" spans="1:9" ht="20" customHeight="1" x14ac:dyDescent="0.35">
      <c r="A29" s="14"/>
      <c r="G29" s="16"/>
    </row>
    <row r="30" spans="1:9" s="16" customFormat="1" ht="20" customHeight="1" x14ac:dyDescent="0.35">
      <c r="A30" s="14"/>
      <c r="B30" s="18"/>
    </row>
    <row r="31" spans="1:9" s="15" customFormat="1" ht="35" customHeight="1" x14ac:dyDescent="0.35">
      <c r="A31" s="14"/>
      <c r="B31" s="324" t="s">
        <v>673</v>
      </c>
      <c r="C31" s="324"/>
      <c r="D31" s="324"/>
      <c r="E31" s="324"/>
      <c r="F31" s="324"/>
      <c r="G31" s="324"/>
      <c r="H31" s="324"/>
      <c r="I31" s="324"/>
    </row>
    <row r="32" spans="1:9" s="15" customFormat="1" ht="35" customHeight="1" x14ac:dyDescent="0.35">
      <c r="A32" s="14"/>
      <c r="B32" s="322" t="s">
        <v>586</v>
      </c>
      <c r="C32" s="322"/>
      <c r="D32" s="322"/>
      <c r="E32" s="322"/>
      <c r="F32" s="322"/>
      <c r="G32" s="322"/>
      <c r="H32" s="322"/>
      <c r="I32" s="322"/>
    </row>
    <row r="33" spans="1:9" ht="25" customHeight="1" x14ac:dyDescent="0.35">
      <c r="A33" s="14"/>
      <c r="B33" s="340" t="s">
        <v>427</v>
      </c>
      <c r="C33" s="340"/>
      <c r="D33" s="340"/>
      <c r="E33" s="340"/>
      <c r="F33" s="25" t="s">
        <v>41</v>
      </c>
      <c r="G33" s="184" t="s">
        <v>23</v>
      </c>
      <c r="H33" s="385" t="s">
        <v>379</v>
      </c>
      <c r="I33" s="385"/>
    </row>
    <row r="34" spans="1:9" ht="25" customHeight="1" x14ac:dyDescent="0.35">
      <c r="A34" s="14"/>
      <c r="B34" s="389" t="str">
        <f>"Energy needed to manufacture - "&amp;$C$8 &amp; " " &amp; $D$8</f>
        <v>Energy needed to manufacture - 0 0</v>
      </c>
      <c r="C34" s="389"/>
      <c r="D34" s="389"/>
      <c r="E34" s="405"/>
      <c r="F34" s="243">
        <v>0</v>
      </c>
      <c r="G34" s="117" t="str">
        <f xml:space="preserve"> "kWh/" &amp;$C$8 &amp; " " &amp; $D$8</f>
        <v>kWh/0 0</v>
      </c>
      <c r="H34" s="386"/>
      <c r="I34" s="387"/>
    </row>
    <row r="35" spans="1:9" ht="30.5" customHeight="1" x14ac:dyDescent="0.35">
      <c r="A35" s="14"/>
    </row>
    <row r="36" spans="1:9" ht="25" customHeight="1" x14ac:dyDescent="0.35">
      <c r="A36" s="14"/>
      <c r="B36" s="27" t="s">
        <v>21</v>
      </c>
      <c r="C36" s="340" t="s">
        <v>22</v>
      </c>
      <c r="D36" s="340"/>
      <c r="E36" s="68" t="s">
        <v>56</v>
      </c>
      <c r="F36" s="25" t="s">
        <v>41</v>
      </c>
      <c r="G36" s="184" t="s">
        <v>23</v>
      </c>
      <c r="H36" s="385" t="s">
        <v>379</v>
      </c>
      <c r="I36" s="385"/>
    </row>
    <row r="37" spans="1:9" ht="25" customHeight="1" x14ac:dyDescent="0.35">
      <c r="A37" s="14"/>
      <c r="B37" s="399" t="s">
        <v>50</v>
      </c>
      <c r="C37" s="383" t="s">
        <v>480</v>
      </c>
      <c r="D37" s="408"/>
      <c r="E37" s="315">
        <v>0</v>
      </c>
      <c r="F37" s="44">
        <f t="shared" ref="F37:F41" si="1">$F$34*E37</f>
        <v>0</v>
      </c>
      <c r="G37" s="117" t="str">
        <f xml:space="preserve"> "kWh/"&amp;$C$8 &amp; " " &amp; $D$8</f>
        <v>kWh/0 0</v>
      </c>
      <c r="H37" s="393"/>
      <c r="I37" s="394"/>
    </row>
    <row r="38" spans="1:9" ht="25" customHeight="1" x14ac:dyDescent="0.35">
      <c r="A38" s="14"/>
      <c r="B38" s="399"/>
      <c r="C38" s="383" t="s">
        <v>480</v>
      </c>
      <c r="D38" s="408"/>
      <c r="E38" s="315">
        <v>0</v>
      </c>
      <c r="F38" s="44">
        <f t="shared" si="1"/>
        <v>0</v>
      </c>
      <c r="G38" s="117" t="str">
        <f t="shared" ref="G38:G41" si="2" xml:space="preserve"> "kWh/"&amp;$C$8 &amp; " " &amp; $D$8</f>
        <v>kWh/0 0</v>
      </c>
      <c r="H38" s="395"/>
      <c r="I38" s="396"/>
    </row>
    <row r="39" spans="1:9" ht="25" customHeight="1" x14ac:dyDescent="0.35">
      <c r="A39" s="14"/>
      <c r="B39" s="399"/>
      <c r="C39" s="383" t="s">
        <v>480</v>
      </c>
      <c r="D39" s="408"/>
      <c r="E39" s="315">
        <v>0</v>
      </c>
      <c r="F39" s="44">
        <f t="shared" si="1"/>
        <v>0</v>
      </c>
      <c r="G39" s="117" t="str">
        <f t="shared" si="2"/>
        <v>kWh/0 0</v>
      </c>
      <c r="H39" s="395"/>
      <c r="I39" s="396"/>
    </row>
    <row r="40" spans="1:9" ht="25" customHeight="1" x14ac:dyDescent="0.35">
      <c r="A40" s="14"/>
      <c r="B40" s="399"/>
      <c r="C40" s="383" t="s">
        <v>480</v>
      </c>
      <c r="D40" s="408"/>
      <c r="E40" s="315">
        <v>0</v>
      </c>
      <c r="F40" s="44">
        <f t="shared" si="1"/>
        <v>0</v>
      </c>
      <c r="G40" s="117" t="str">
        <f t="shared" si="2"/>
        <v>kWh/0 0</v>
      </c>
      <c r="H40" s="395"/>
      <c r="I40" s="396"/>
    </row>
    <row r="41" spans="1:9" s="16" customFormat="1" ht="25" customHeight="1" x14ac:dyDescent="0.35">
      <c r="A41" s="109"/>
      <c r="B41" s="399"/>
      <c r="C41" s="383" t="s">
        <v>480</v>
      </c>
      <c r="D41" s="408"/>
      <c r="E41" s="316">
        <v>0</v>
      </c>
      <c r="F41" s="44">
        <f t="shared" si="1"/>
        <v>0</v>
      </c>
      <c r="G41" s="117" t="str">
        <f t="shared" si="2"/>
        <v>kWh/0 0</v>
      </c>
      <c r="H41" s="397"/>
      <c r="I41" s="398"/>
    </row>
    <row r="42" spans="1:9" ht="25" customHeight="1" x14ac:dyDescent="0.35">
      <c r="B42" s="399"/>
      <c r="C42" s="406" t="s">
        <v>24</v>
      </c>
      <c r="D42" s="407"/>
      <c r="E42" s="64">
        <f>SUM(E37:E41)</f>
        <v>0</v>
      </c>
      <c r="G42" s="18"/>
    </row>
    <row r="43" spans="1:9" ht="25" customHeight="1" x14ac:dyDescent="0.35"/>
    <row r="44" spans="1:9" ht="25" customHeight="1" x14ac:dyDescent="0.35">
      <c r="B44" s="27" t="s">
        <v>21</v>
      </c>
      <c r="C44" s="340" t="s">
        <v>55</v>
      </c>
      <c r="D44" s="340"/>
      <c r="E44" s="340"/>
      <c r="F44" s="24" t="s">
        <v>53</v>
      </c>
      <c r="G44" s="184" t="s">
        <v>54</v>
      </c>
      <c r="H44" s="385" t="s">
        <v>379</v>
      </c>
      <c r="I44" s="385"/>
    </row>
    <row r="45" spans="1:9" ht="25" customHeight="1" x14ac:dyDescent="0.35">
      <c r="B45" s="43" t="str">
        <f>"Water used to manufacture - "&amp;$C$8 &amp; " " &amp; $D$8</f>
        <v>Water used to manufacture - 0 0</v>
      </c>
      <c r="C45" s="383" t="s">
        <v>491</v>
      </c>
      <c r="D45" s="383"/>
      <c r="E45" s="383"/>
      <c r="F45" s="245">
        <v>0</v>
      </c>
      <c r="G45" s="117" t="str">
        <f xml:space="preserve"> "m3/"&amp;$C$8 &amp; " " &amp; $D$8</f>
        <v>m3/0 0</v>
      </c>
      <c r="H45" s="386"/>
      <c r="I45" s="388"/>
    </row>
    <row r="46" spans="1:9" ht="20" customHeight="1" x14ac:dyDescent="0.35">
      <c r="C46" s="235"/>
      <c r="D46" s="235"/>
      <c r="E46" s="235"/>
      <c r="F46" s="250"/>
      <c r="G46" s="18"/>
      <c r="H46" s="251"/>
    </row>
    <row r="47" spans="1:9" ht="20" customHeight="1" x14ac:dyDescent="0.35">
      <c r="C47" s="235"/>
      <c r="D47" s="235"/>
      <c r="E47" s="235"/>
      <c r="F47" s="250"/>
      <c r="G47" s="18"/>
      <c r="H47" s="251"/>
      <c r="I47" s="251"/>
    </row>
    <row r="48" spans="1:9" s="15" customFormat="1" ht="35" customHeight="1" x14ac:dyDescent="0.35">
      <c r="A48" s="109"/>
      <c r="B48" s="324" t="s">
        <v>671</v>
      </c>
      <c r="C48" s="324"/>
      <c r="D48" s="324"/>
      <c r="E48" s="324"/>
      <c r="F48" s="324"/>
      <c r="G48" s="324"/>
      <c r="H48" s="324"/>
      <c r="I48" s="324"/>
    </row>
    <row r="49" spans="1:9" s="15" customFormat="1" ht="35" customHeight="1" x14ac:dyDescent="0.35">
      <c r="A49" s="109"/>
      <c r="B49" s="322" t="s">
        <v>587</v>
      </c>
      <c r="C49" s="322"/>
      <c r="D49" s="322"/>
      <c r="E49" s="322"/>
      <c r="F49" s="322"/>
      <c r="G49" s="322"/>
      <c r="H49" s="322"/>
      <c r="I49" s="322"/>
    </row>
    <row r="50" spans="1:9" s="16" customFormat="1" ht="25" customHeight="1" x14ac:dyDescent="0.35">
      <c r="A50" s="109"/>
      <c r="B50" s="27" t="s">
        <v>21</v>
      </c>
      <c r="C50" s="24" t="s">
        <v>383</v>
      </c>
      <c r="D50" s="207" t="s">
        <v>42</v>
      </c>
      <c r="E50" s="24" t="s">
        <v>381</v>
      </c>
      <c r="F50" s="25" t="s">
        <v>43</v>
      </c>
      <c r="G50" s="25" t="s">
        <v>44</v>
      </c>
      <c r="H50" s="24" t="s">
        <v>45</v>
      </c>
      <c r="I50" s="25" t="s">
        <v>379</v>
      </c>
    </row>
    <row r="51" spans="1:9" ht="25" customHeight="1" x14ac:dyDescent="0.35">
      <c r="B51" s="31" t="str">
        <f>"RM Sourcing - " &amp;$C$8 &amp; " " &amp; $D$8</f>
        <v>RM Sourcing - 0 0</v>
      </c>
      <c r="C51" s="239" t="s">
        <v>389</v>
      </c>
      <c r="D51" s="239" t="s">
        <v>390</v>
      </c>
      <c r="E51" s="237" t="s">
        <v>391</v>
      </c>
      <c r="F51" s="243">
        <v>0</v>
      </c>
      <c r="G51" s="98" t="str">
        <f>"km/"&amp;$C$8 &amp; " " &amp; $D$8</f>
        <v>km/0 0</v>
      </c>
      <c r="H51" s="230" t="s">
        <v>489</v>
      </c>
      <c r="I51" s="390"/>
    </row>
    <row r="52" spans="1:9" ht="25" customHeight="1" x14ac:dyDescent="0.35">
      <c r="B52" s="31" t="str">
        <f>"Product Distribution to Suppliers - "&amp;$C$8 &amp; " " &amp; $D$8</f>
        <v>Product Distribution to Suppliers - 0 0</v>
      </c>
      <c r="C52" s="239" t="s">
        <v>389</v>
      </c>
      <c r="D52" s="239" t="s">
        <v>390</v>
      </c>
      <c r="E52" s="237" t="s">
        <v>391</v>
      </c>
      <c r="F52" s="243">
        <v>0</v>
      </c>
      <c r="G52" s="98" t="str">
        <f t="shared" ref="G52:G54" si="3">"km/"&amp;$C$8 &amp; " " &amp; $D$8</f>
        <v>km/0 0</v>
      </c>
      <c r="H52" s="230" t="s">
        <v>489</v>
      </c>
      <c r="I52" s="391"/>
    </row>
    <row r="53" spans="1:9" ht="25" customHeight="1" x14ac:dyDescent="0.35">
      <c r="B53" s="263" t="s">
        <v>675</v>
      </c>
      <c r="C53" s="239" t="s">
        <v>389</v>
      </c>
      <c r="D53" s="239" t="s">
        <v>390</v>
      </c>
      <c r="E53" s="237" t="s">
        <v>391</v>
      </c>
      <c r="F53" s="243">
        <v>0</v>
      </c>
      <c r="G53" s="98" t="str">
        <f t="shared" si="3"/>
        <v>km/0 0</v>
      </c>
      <c r="H53" s="230" t="s">
        <v>489</v>
      </c>
      <c r="I53" s="391"/>
    </row>
    <row r="54" spans="1:9" ht="25" customHeight="1" x14ac:dyDescent="0.35">
      <c r="B54" s="263" t="s">
        <v>675</v>
      </c>
      <c r="C54" s="239" t="s">
        <v>389</v>
      </c>
      <c r="D54" s="239" t="s">
        <v>390</v>
      </c>
      <c r="E54" s="237" t="s">
        <v>391</v>
      </c>
      <c r="F54" s="243">
        <v>0</v>
      </c>
      <c r="G54" s="98" t="str">
        <f t="shared" si="3"/>
        <v>km/0 0</v>
      </c>
      <c r="H54" s="230" t="s">
        <v>489</v>
      </c>
      <c r="I54" s="391"/>
    </row>
    <row r="55" spans="1:9" ht="25" customHeight="1" x14ac:dyDescent="0.35">
      <c r="B55" s="263" t="s">
        <v>675</v>
      </c>
      <c r="C55" s="239" t="s">
        <v>389</v>
      </c>
      <c r="D55" s="239" t="s">
        <v>390</v>
      </c>
      <c r="E55" s="237" t="s">
        <v>391</v>
      </c>
      <c r="F55" s="243">
        <v>0</v>
      </c>
      <c r="G55" s="98" t="str">
        <f>"km/"&amp;$C$8 &amp; " " &amp; $D$8</f>
        <v>km/0 0</v>
      </c>
      <c r="H55" s="230" t="s">
        <v>489</v>
      </c>
      <c r="I55" s="392"/>
    </row>
    <row r="56" spans="1:9" ht="20" customHeight="1" x14ac:dyDescent="0.35">
      <c r="G56" s="16"/>
    </row>
    <row r="57" spans="1:9" ht="20" customHeight="1" x14ac:dyDescent="0.35"/>
    <row r="58" spans="1:9" s="15" customFormat="1" ht="35" customHeight="1" x14ac:dyDescent="0.35">
      <c r="A58" s="109"/>
      <c r="B58" s="324" t="s">
        <v>672</v>
      </c>
      <c r="C58" s="324"/>
      <c r="D58" s="324"/>
      <c r="E58" s="324"/>
      <c r="F58" s="324"/>
      <c r="G58" s="324"/>
      <c r="H58" s="324"/>
      <c r="I58" s="324"/>
    </row>
    <row r="59" spans="1:9" s="15" customFormat="1" ht="35" customHeight="1" x14ac:dyDescent="0.35">
      <c r="A59" s="109"/>
      <c r="B59" s="322" t="s">
        <v>588</v>
      </c>
      <c r="C59" s="322"/>
      <c r="D59" s="322"/>
      <c r="E59" s="322"/>
      <c r="F59" s="322"/>
      <c r="G59" s="322"/>
      <c r="H59" s="322"/>
      <c r="I59" s="322"/>
    </row>
    <row r="60" spans="1:9" ht="25" customHeight="1" x14ac:dyDescent="0.35">
      <c r="B60" s="27" t="s">
        <v>21</v>
      </c>
      <c r="C60" s="340" t="s">
        <v>446</v>
      </c>
      <c r="D60" s="340"/>
      <c r="E60" s="68" t="s">
        <v>56</v>
      </c>
      <c r="F60" s="25" t="s">
        <v>53</v>
      </c>
      <c r="G60" s="25" t="s">
        <v>54</v>
      </c>
      <c r="H60" s="385" t="s">
        <v>379</v>
      </c>
      <c r="I60" s="385"/>
    </row>
    <row r="61" spans="1:9" ht="25" customHeight="1" x14ac:dyDescent="0.35">
      <c r="B61" s="43" t="s">
        <v>512</v>
      </c>
      <c r="C61" s="383" t="s">
        <v>511</v>
      </c>
      <c r="D61" s="408"/>
      <c r="E61" s="246">
        <v>0</v>
      </c>
      <c r="F61" s="69" t="str">
        <f>IF('Project Description'!$C$20="Cradle-to-Grave",$C$8*E61,"n/a")</f>
        <v>n/a</v>
      </c>
      <c r="G61" s="117" t="str">
        <f xml:space="preserve"> "kg/"&amp;$C$8 &amp; " " &amp; $D$8</f>
        <v>kg/0 0</v>
      </c>
      <c r="H61" s="393"/>
      <c r="I61" s="400"/>
    </row>
    <row r="62" spans="1:9" ht="25" customHeight="1" x14ac:dyDescent="0.35">
      <c r="B62" s="43" t="s">
        <v>512</v>
      </c>
      <c r="C62" s="383" t="s">
        <v>511</v>
      </c>
      <c r="D62" s="408"/>
      <c r="E62" s="246">
        <v>0</v>
      </c>
      <c r="F62" s="69" t="str">
        <f>IF('Project Description'!$C$20="Cradle-to-Grave",$C$8*E62,"n/a")</f>
        <v>n/a</v>
      </c>
      <c r="G62" s="117" t="str">
        <f t="shared" ref="G62:G65" si="4" xml:space="preserve"> "kg/"&amp;$C$8 &amp; " " &amp; $D$8</f>
        <v>kg/0 0</v>
      </c>
      <c r="H62" s="401"/>
      <c r="I62" s="402"/>
    </row>
    <row r="63" spans="1:9" ht="25" customHeight="1" x14ac:dyDescent="0.35">
      <c r="B63" s="43" t="s">
        <v>512</v>
      </c>
      <c r="C63" s="383" t="s">
        <v>511</v>
      </c>
      <c r="D63" s="408"/>
      <c r="E63" s="246">
        <v>0</v>
      </c>
      <c r="F63" s="69" t="str">
        <f>IF('Project Description'!$C$20="Cradle-to-Grave",$C$8*E63,"n/a")</f>
        <v>n/a</v>
      </c>
      <c r="G63" s="117" t="str">
        <f t="shared" si="4"/>
        <v>kg/0 0</v>
      </c>
      <c r="H63" s="401"/>
      <c r="I63" s="402"/>
    </row>
    <row r="64" spans="1:9" ht="25" customHeight="1" x14ac:dyDescent="0.35">
      <c r="B64" s="43" t="s">
        <v>512</v>
      </c>
      <c r="C64" s="383" t="s">
        <v>511</v>
      </c>
      <c r="D64" s="408"/>
      <c r="E64" s="247">
        <v>0</v>
      </c>
      <c r="F64" s="69" t="str">
        <f>IF('Project Description'!$C$20="Cradle-to-Grave",$C$8*E64,"n/a")</f>
        <v>n/a</v>
      </c>
      <c r="G64" s="117" t="str">
        <f t="shared" si="4"/>
        <v>kg/0 0</v>
      </c>
      <c r="H64" s="401"/>
      <c r="I64" s="402"/>
    </row>
    <row r="65" spans="2:9" ht="25" customHeight="1" x14ac:dyDescent="0.35">
      <c r="B65" s="260"/>
      <c r="C65" s="406" t="s">
        <v>24</v>
      </c>
      <c r="D65" s="407"/>
      <c r="E65" s="64">
        <f>SUM(E61:E64)</f>
        <v>0</v>
      </c>
      <c r="F65" s="47">
        <f>SUM(F61:F64)</f>
        <v>0</v>
      </c>
      <c r="G65" s="117" t="str">
        <f t="shared" si="4"/>
        <v>kg/0 0</v>
      </c>
      <c r="H65" s="403"/>
      <c r="I65" s="404"/>
    </row>
    <row r="66" spans="2:9" x14ac:dyDescent="0.35">
      <c r="D66" s="61"/>
    </row>
    <row r="67" spans="2:9" x14ac:dyDescent="0.35">
      <c r="D67" s="61"/>
    </row>
  </sheetData>
  <sheetProtection algorithmName="SHA-512" hashValue="vnbyIWoxK73LYSaqevf2Yl2x++qMC3qX5e52qsfmsvFjJGo6/GhX3OwSflnuUuTGpve8wmwOaVaRAMYDkqBXag==" saltValue="wu7ZUbih1EMlL4rVeDKVjA==" spinCount="100000" sheet="1" objects="1" scenarios="1"/>
  <mergeCells count="58">
    <mergeCell ref="C61:D61"/>
    <mergeCell ref="C62:D62"/>
    <mergeCell ref="C63:D63"/>
    <mergeCell ref="C64:D64"/>
    <mergeCell ref="C40:D40"/>
    <mergeCell ref="C41:D41"/>
    <mergeCell ref="H60:I60"/>
    <mergeCell ref="H61:I65"/>
    <mergeCell ref="B59:I59"/>
    <mergeCell ref="B49:I49"/>
    <mergeCell ref="B28:E28"/>
    <mergeCell ref="C45:E45"/>
    <mergeCell ref="C44:E44"/>
    <mergeCell ref="C42:D42"/>
    <mergeCell ref="B34:E34"/>
    <mergeCell ref="C37:D37"/>
    <mergeCell ref="C38:D38"/>
    <mergeCell ref="C39:D39"/>
    <mergeCell ref="C65:D65"/>
    <mergeCell ref="B33:E33"/>
    <mergeCell ref="C36:D36"/>
    <mergeCell ref="C60:D60"/>
    <mergeCell ref="I51:I55"/>
    <mergeCell ref="H36:I36"/>
    <mergeCell ref="H37:I41"/>
    <mergeCell ref="B48:I48"/>
    <mergeCell ref="B58:I58"/>
    <mergeCell ref="B37:B42"/>
    <mergeCell ref="H33:I33"/>
    <mergeCell ref="H34:I34"/>
    <mergeCell ref="H44:I44"/>
    <mergeCell ref="H45:I45"/>
    <mergeCell ref="H12:I12"/>
    <mergeCell ref="B32:I32"/>
    <mergeCell ref="B13:B27"/>
    <mergeCell ref="C12:D12"/>
    <mergeCell ref="C13:D13"/>
    <mergeCell ref="C14:D14"/>
    <mergeCell ref="C15:D15"/>
    <mergeCell ref="C16:D16"/>
    <mergeCell ref="C17:D17"/>
    <mergeCell ref="C24:D24"/>
    <mergeCell ref="C25:D25"/>
    <mergeCell ref="C20:D20"/>
    <mergeCell ref="B1:I1"/>
    <mergeCell ref="B2:I2"/>
    <mergeCell ref="B10:I10"/>
    <mergeCell ref="H13:I28"/>
    <mergeCell ref="B31:I31"/>
    <mergeCell ref="B11:I11"/>
    <mergeCell ref="C21:D21"/>
    <mergeCell ref="B3:H3"/>
    <mergeCell ref="C26:D26"/>
    <mergeCell ref="C27:D27"/>
    <mergeCell ref="C22:D22"/>
    <mergeCell ref="C23:D23"/>
    <mergeCell ref="C18:D18"/>
    <mergeCell ref="C19:D19"/>
  </mergeCells>
  <conditionalFormatting sqref="E42">
    <cfRule type="cellIs" dxfId="17" priority="10" operator="greaterThan">
      <formula>100</formula>
    </cfRule>
    <cfRule type="cellIs" dxfId="16" priority="11" operator="greaterThan">
      <formula>1</formula>
    </cfRule>
  </conditionalFormatting>
  <conditionalFormatting sqref="D67">
    <cfRule type="cellIs" dxfId="15" priority="8" operator="greaterThan">
      <formula>100</formula>
    </cfRule>
    <cfRule type="cellIs" dxfId="14" priority="9" operator="greaterThan">
      <formula>1</formula>
    </cfRule>
  </conditionalFormatting>
  <conditionalFormatting sqref="E65">
    <cfRule type="cellIs" dxfId="13" priority="6" operator="greaterThan">
      <formula>100</formula>
    </cfRule>
    <cfRule type="cellIs" dxfId="12" priority="7" operator="greaterThan">
      <formula>1</formula>
    </cfRule>
  </conditionalFormatting>
  <dataValidations count="2">
    <dataValidation type="list" allowBlank="1" showInputMessage="1" showErrorMessage="1" sqref="H51:H55" xr:uid="{C5BBCE36-5D80-4E3B-A352-F23A875F8845}">
      <formula1>"Select Ownership, Self-owned, Third Party"</formula1>
    </dataValidation>
    <dataValidation type="list" allowBlank="1" showInputMessage="1" showErrorMessage="1" sqref="H6" xr:uid="{BAAAA317-4E05-47FB-B461-CAC0345B80E7}">
      <formula1>"Dropdown Cells"</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1">
        <x14:dataValidation type="list" allowBlank="1" showInputMessage="1" showErrorMessage="1" xr:uid="{3E4237B9-1CDE-4C37-B02D-AFB2EB8937CA}">
          <x14:formula1>
            <xm:f>_xlfn.ANCHORARRAY('Tool - EFs &amp; Helpers'!$AE$6)</xm:f>
          </x14:formula1>
          <xm:sqref>E29 E13</xm:sqref>
        </x14:dataValidation>
        <x14:dataValidation type="list" allowBlank="1" showInputMessage="1" showErrorMessage="1" xr:uid="{4F842D59-4C22-47A0-BFD4-C55990ADEE63}">
          <x14:formula1>
            <xm:f>_xlfn.ANCHORARRAY('Tool - EFs &amp; Helpers'!$AE$23)</xm:f>
          </x14:formula1>
          <xm:sqref>E14</xm:sqref>
        </x14:dataValidation>
        <x14:dataValidation type="list" allowBlank="1" showInputMessage="1" showErrorMessage="1" xr:uid="{EBE3BD88-4615-40E1-B0AB-40AA797EA700}">
          <x14:formula1>
            <xm:f>_xlfn.ANCHORARRAY('Tool - EFs &amp; Helpers'!$AE$41)</xm:f>
          </x14:formula1>
          <xm:sqref>E15</xm:sqref>
        </x14:dataValidation>
        <x14:dataValidation type="list" allowBlank="1" showInputMessage="1" showErrorMessage="1" xr:uid="{E7C717AC-CEB8-482E-ACA1-A6D8BF6C94BF}">
          <x14:formula1>
            <xm:f>_xlfn.ANCHORARRAY('Tool - EFs &amp; Helpers'!$AE$58)</xm:f>
          </x14:formula1>
          <xm:sqref>E16</xm:sqref>
        </x14:dataValidation>
        <x14:dataValidation type="list" allowBlank="1" showInputMessage="1" showErrorMessage="1" xr:uid="{B9911468-8D38-4931-9616-A53457CCCFBD}">
          <x14:formula1>
            <xm:f>_xlfn.ANCHORARRAY('Tool - EFs &amp; Helpers'!$AE$92)</xm:f>
          </x14:formula1>
          <xm:sqref>E18</xm:sqref>
        </x14:dataValidation>
        <x14:dataValidation type="list" allowBlank="1" showInputMessage="1" showErrorMessage="1" xr:uid="{9B81575C-AC4F-4C19-92F0-F6DD3FA30C5F}">
          <x14:formula1>
            <xm:f>_xlfn.ANCHORARRAY('Tool - EFs &amp; Helpers'!$AE$75)</xm:f>
          </x14:formula1>
          <xm:sqref>E17</xm:sqref>
        </x14:dataValidation>
        <x14:dataValidation type="list" allowBlank="1" showInputMessage="1" showErrorMessage="1" xr:uid="{CC0C4F0A-C90F-4330-B606-6E557C633A69}">
          <x14:formula1>
            <xm:f>_xlfn.ANCHORARRAY('Tool - EFs &amp; Helpers'!$AE$109)</xm:f>
          </x14:formula1>
          <xm:sqref>E19</xm:sqref>
        </x14:dataValidation>
        <x14:dataValidation type="list" allowBlank="1" showInputMessage="1" showErrorMessage="1" xr:uid="{B80E3C53-F47E-4ED7-A501-06548534C9B5}">
          <x14:formula1>
            <xm:f>_xlfn.ANCHORARRAY('Tool - EFs &amp; Helpers'!$AE$127)</xm:f>
          </x14:formula1>
          <xm:sqref>E20</xm:sqref>
        </x14:dataValidation>
        <x14:dataValidation type="list" allowBlank="1" showInputMessage="1" showErrorMessage="1" xr:uid="{84A4FC4A-DD14-4CD0-A649-5EDD87B936FD}">
          <x14:formula1>
            <xm:f>_xlfn.ANCHORARRAY('Tool - EFs &amp; Helpers'!$AE$145)</xm:f>
          </x14:formula1>
          <xm:sqref>E21</xm:sqref>
        </x14:dataValidation>
        <x14:dataValidation type="list" allowBlank="1" showInputMessage="1" showErrorMessage="1" xr:uid="{93C462CF-4388-49CD-BA33-607364AB04DD}">
          <x14:formula1>
            <xm:f>_xlfn.ANCHORARRAY('Tool - EFs &amp; Helpers'!$AE$163)</xm:f>
          </x14:formula1>
          <xm:sqref>E22</xm:sqref>
        </x14:dataValidation>
        <x14:dataValidation type="list" allowBlank="1" showInputMessage="1" showErrorMessage="1" xr:uid="{16B3C8CD-88EA-4953-A14D-F64B3C283608}">
          <x14:formula1>
            <xm:f>_xlfn.ANCHORARRAY('Tool - EFs &amp; Helpers'!$AE$181)</xm:f>
          </x14:formula1>
          <xm:sqref>E23</xm:sqref>
        </x14:dataValidation>
        <x14:dataValidation type="list" allowBlank="1" showInputMessage="1" showErrorMessage="1" xr:uid="{0E229DBE-A9E7-4F3F-BA13-EA74E5B63DAD}">
          <x14:formula1>
            <xm:f>_xlfn.ANCHORARRAY('Tool - EFs &amp; Helpers'!$AE$199)</xm:f>
          </x14:formula1>
          <xm:sqref>E24</xm:sqref>
        </x14:dataValidation>
        <x14:dataValidation type="list" allowBlank="1" showInputMessage="1" showErrorMessage="1" xr:uid="{68814CD1-E79D-4DC9-AC93-D7A7E0F7F8AD}">
          <x14:formula1>
            <xm:f>_xlfn.ANCHORARRAY('Tool - EFs &amp; Helpers'!$AE$217)</xm:f>
          </x14:formula1>
          <xm:sqref>E25</xm:sqref>
        </x14:dataValidation>
        <x14:dataValidation type="list" allowBlank="1" showInputMessage="1" showErrorMessage="1" xr:uid="{EDADD59B-4D0D-463F-A4EB-66C52FDC14C3}">
          <x14:formula1>
            <xm:f>_xlfn.ANCHORARRAY('Tool - EFs &amp; Helpers'!$AE$235)</xm:f>
          </x14:formula1>
          <xm:sqref>E26</xm:sqref>
        </x14:dataValidation>
        <x14:dataValidation type="list" allowBlank="1" showInputMessage="1" showErrorMessage="1" xr:uid="{985BC9F9-3637-4874-9D3A-1984EFE7875A}">
          <x14:formula1>
            <xm:f>_xlfn.ANCHORARRAY('Tool - EFs &amp; Helpers'!$AE$253)</xm:f>
          </x14:formula1>
          <xm:sqref>E27</xm:sqref>
        </x14:dataValidation>
        <x14:dataValidation type="list" allowBlank="1" showInputMessage="1" showErrorMessage="1" xr:uid="{7A3B3669-D012-4BF8-B43E-25D975DA6FA3}">
          <x14:formula1>
            <xm:f>_xlfn.ANCHORARRAY('Tool - EFs &amp; Helpers'!$AD$6)</xm:f>
          </x14:formula1>
          <xm:sqref>C13:C27</xm:sqref>
        </x14:dataValidation>
        <x14:dataValidation type="list" allowBlank="1" showInputMessage="1" showErrorMessage="1" xr:uid="{2DEC44E5-DCF8-4B08-A5E2-4FE2D643810B}">
          <x14:formula1>
            <xm:f>_xlfn.ANCHORARRAY('Tool - EFs &amp; Helpers'!$AO$7)</xm:f>
          </x14:formula1>
          <xm:sqref>C51:C55</xm:sqref>
        </x14:dataValidation>
        <x14:dataValidation type="list" allowBlank="1" showInputMessage="1" showErrorMessage="1" xr:uid="{E1F99634-B47B-4037-A0BF-4152BCC68449}">
          <x14:formula1>
            <xm:f>_xlfn.ANCHORARRAY('Tool - EFs &amp; Helpers'!$AP$7)</xm:f>
          </x14:formula1>
          <xm:sqref>D51</xm:sqref>
        </x14:dataValidation>
        <x14:dataValidation type="list" allowBlank="1" showInputMessage="1" showErrorMessage="1" xr:uid="{F24D7E83-12DB-4CEF-9362-6F25D7E19F20}">
          <x14:formula1>
            <xm:f>_xlfn.ANCHORARRAY('Tool - EFs &amp; Helpers'!$AQ$7)</xm:f>
          </x14:formula1>
          <xm:sqref>E51</xm:sqref>
        </x14:dataValidation>
        <x14:dataValidation type="list" showInputMessage="1" showErrorMessage="1" xr:uid="{56FFE8B4-8101-40B0-82DB-17F959ABAED5}">
          <x14:formula1>
            <xm:f>_xlfn.ANCHORARRAY('Tool - EFs &amp; Helpers'!$T$14)</xm:f>
          </x14:formula1>
          <xm:sqref>C37:C41</xm:sqref>
        </x14:dataValidation>
        <x14:dataValidation type="list" allowBlank="1" showInputMessage="1" showErrorMessage="1" xr:uid="{4E6A9AB6-AEEC-4C0E-BB22-CD2CDD30775D}">
          <x14:formula1>
            <xm:f>_xlfn.ANCHORARRAY('Tool - EFs &amp; Helpers'!$T$46)</xm:f>
          </x14:formula1>
          <xm:sqref>C61:C64</xm:sqref>
        </x14:dataValidation>
        <x14:dataValidation type="list" allowBlank="1" showInputMessage="1" showErrorMessage="1" xr:uid="{A682B4FD-0937-41DD-BAAE-FD8979FCD41B}">
          <x14:formula1>
            <xm:f>_xlfn.ANCHORARRAY('Tool - EFs &amp; Helpers'!$AC$138)</xm:f>
          </x14:formula1>
          <xm:sqref>C45 C47</xm:sqref>
        </x14:dataValidation>
        <x14:dataValidation type="list" allowBlank="1" showInputMessage="1" showErrorMessage="1" xr:uid="{357662B9-ADF5-4545-ADD8-BEECB68EFECC}">
          <x14:formula1>
            <xm:f>_xlfn.ANCHORARRAY('Tool - EFs &amp; Helpers'!$AQ$119)</xm:f>
          </x14:formula1>
          <xm:sqref>E55</xm:sqref>
        </x14:dataValidation>
        <x14:dataValidation type="list" allowBlank="1" showInputMessage="1" showErrorMessage="1" xr:uid="{397BBC21-7CF0-40AD-95B2-91515476FA23}">
          <x14:formula1>
            <xm:f>_xlfn.ANCHORARRAY('Tool - EFs &amp; Helpers'!$AP$35)</xm:f>
          </x14:formula1>
          <xm:sqref>D52</xm:sqref>
        </x14:dataValidation>
        <x14:dataValidation type="list" allowBlank="1" showInputMessage="1" showErrorMessage="1" xr:uid="{943BB523-3683-46BA-84B1-9FBE0643135D}">
          <x14:formula1>
            <xm:f>_xlfn.ANCHORARRAY('Tool - EFs &amp; Helpers'!$AQ$35)</xm:f>
          </x14:formula1>
          <xm:sqref>E52</xm:sqref>
        </x14:dataValidation>
        <x14:dataValidation type="list" allowBlank="1" showInputMessage="1" showErrorMessage="1" xr:uid="{C292D5DE-9359-4FC0-B4F4-4A32FF8A2ED1}">
          <x14:formula1>
            <xm:f>_xlfn.ANCHORARRAY('Tool - EFs &amp; Helpers'!$AP$63)</xm:f>
          </x14:formula1>
          <xm:sqref>D53</xm:sqref>
        </x14:dataValidation>
        <x14:dataValidation type="list" allowBlank="1" showInputMessage="1" showErrorMessage="1" xr:uid="{DCBDBF91-B1DA-4A78-B09E-F2E3AEDED491}">
          <x14:formula1>
            <xm:f>_xlfn.ANCHORARRAY('Tool - EFs &amp; Helpers'!$AQ$63)</xm:f>
          </x14:formula1>
          <xm:sqref>E53</xm:sqref>
        </x14:dataValidation>
        <x14:dataValidation type="list" allowBlank="1" showInputMessage="1" showErrorMessage="1" xr:uid="{E2C43F11-9738-4260-A071-ADBADBBF841F}">
          <x14:formula1>
            <xm:f>_xlfn.ANCHORARRAY('Tool - EFs &amp; Helpers'!$AP$91)</xm:f>
          </x14:formula1>
          <xm:sqref>D54</xm:sqref>
        </x14:dataValidation>
        <x14:dataValidation type="list" allowBlank="1" showInputMessage="1" showErrorMessage="1" xr:uid="{47ED0532-BC09-45BE-9920-139D93090CB1}">
          <x14:formula1>
            <xm:f>_xlfn.ANCHORARRAY('Tool - EFs &amp; Helpers'!$AQ$91)</xm:f>
          </x14:formula1>
          <xm:sqref>E54</xm:sqref>
        </x14:dataValidation>
        <x14:dataValidation type="list" allowBlank="1" showInputMessage="1" showErrorMessage="1" xr:uid="{7C039A53-5F6D-4013-9189-DF708FDA7993}">
          <x14:formula1>
            <xm:f>_xlfn.ANCHORARRAY('Tool - EFs &amp; Helpers'!$AP$119)</xm:f>
          </x14:formula1>
          <xm:sqref>D55</xm:sqref>
        </x14:dataValidation>
        <x14:dataValidation type="list" allowBlank="1" showInputMessage="1" showErrorMessage="1" xr:uid="{6836D220-485D-4C1C-89A9-4B1BB09F6AC4}">
          <x14:formula1>
            <xm:f>_xlfn.ANCHORARRAY('Tool - EFs &amp; Helpers'!$AE6)</xm:f>
          </x14:formula1>
          <xm:sqref>E13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8EB8C-F7B2-435C-899C-DAB57CD09C66}">
  <sheetPr codeName="Sheet9">
    <tabColor theme="6" tint="-0.499984740745262"/>
  </sheetPr>
  <dimension ref="A1:I75"/>
  <sheetViews>
    <sheetView showGridLines="0" topLeftCell="A48" zoomScale="40" zoomScaleNormal="40" workbookViewId="0">
      <selection activeCell="B68" sqref="B68"/>
    </sheetView>
  </sheetViews>
  <sheetFormatPr defaultRowHeight="20.5" x14ac:dyDescent="0.35"/>
  <cols>
    <col min="1" max="1" width="9.1796875" style="181" customWidth="1"/>
    <col min="2" max="2" width="59.1796875" style="265" customWidth="1"/>
    <col min="3" max="5" width="40.90625" style="181" customWidth="1"/>
    <col min="6" max="6" width="41" style="266" customWidth="1"/>
    <col min="7" max="7" width="41" style="181" customWidth="1"/>
    <col min="8" max="8" width="41" style="265" customWidth="1"/>
    <col min="9" max="9" width="68.26953125" style="181" customWidth="1"/>
    <col min="10" max="10" width="14.1796875" style="181" bestFit="1" customWidth="1"/>
    <col min="11" max="16384" width="8.7265625" style="181"/>
  </cols>
  <sheetData>
    <row r="1" spans="1:9" ht="73" customHeight="1" x14ac:dyDescent="0.35">
      <c r="B1" s="352" t="s">
        <v>561</v>
      </c>
      <c r="C1" s="352"/>
      <c r="D1" s="352"/>
      <c r="E1" s="352"/>
      <c r="F1" s="352"/>
      <c r="G1" s="352"/>
      <c r="H1" s="352"/>
      <c r="I1" s="352"/>
    </row>
    <row r="2" spans="1:9" ht="29" customHeight="1" x14ac:dyDescent="0.35">
      <c r="B2" s="423" t="s">
        <v>399</v>
      </c>
      <c r="C2" s="423"/>
      <c r="D2" s="423"/>
      <c r="E2" s="423"/>
      <c r="F2" s="423"/>
      <c r="G2" s="423"/>
      <c r="H2" s="423"/>
      <c r="I2" s="423"/>
    </row>
    <row r="3" spans="1:9" x14ac:dyDescent="0.35">
      <c r="B3" s="424" t="str">
        <f>'About this tool'!C47</f>
        <v>This sheet calculates GHG emissions for the baseline scenario using data from the Baseline Inventory and the referenced emission factors. The results represent the emissions against which project impacts are compared.</v>
      </c>
      <c r="C3" s="424"/>
      <c r="D3" s="424"/>
      <c r="E3" s="424"/>
      <c r="F3" s="424"/>
      <c r="G3" s="424"/>
      <c r="H3" s="424"/>
    </row>
    <row r="4" spans="1:9" x14ac:dyDescent="0.35">
      <c r="G4" s="267"/>
      <c r="H4" s="280"/>
    </row>
    <row r="5" spans="1:9" x14ac:dyDescent="0.35">
      <c r="B5" s="268" t="str">
        <f>'Project Description'!B19</f>
        <v>Scope</v>
      </c>
      <c r="C5" s="269" t="str">
        <f>'Project Description'!C19</f>
        <v>Select Scope</v>
      </c>
      <c r="D5" s="267"/>
      <c r="G5" s="270" t="s">
        <v>579</v>
      </c>
      <c r="H5" s="271" t="s">
        <v>582</v>
      </c>
    </row>
    <row r="6" spans="1:9" ht="41" x14ac:dyDescent="0.35">
      <c r="B6" s="268" t="str">
        <f>'Project Description'!B20</f>
        <v>System Boundary</v>
      </c>
      <c r="C6" s="269" t="str">
        <f>'Project Description'!C20</f>
        <v>Select Boundary</v>
      </c>
      <c r="D6" s="267"/>
      <c r="G6" s="272" t="s">
        <v>583</v>
      </c>
      <c r="H6" s="273" t="s">
        <v>580</v>
      </c>
    </row>
    <row r="7" spans="1:9" x14ac:dyDescent="0.35">
      <c r="B7" s="268" t="str">
        <f>'Project Description'!E11</f>
        <v>Base Year</v>
      </c>
      <c r="C7" s="274" t="str">
        <f>'Project Description'!F11</f>
        <v>Please Select Year</v>
      </c>
      <c r="D7" s="267"/>
      <c r="G7" s="267"/>
      <c r="H7" s="280"/>
    </row>
    <row r="8" spans="1:9" x14ac:dyDescent="0.35">
      <c r="B8" s="268" t="s">
        <v>394</v>
      </c>
      <c r="C8" s="269">
        <f>'Project Description'!F20</f>
        <v>0</v>
      </c>
      <c r="D8" s="275">
        <f>'Project Description'!G20</f>
        <v>0</v>
      </c>
      <c r="G8" s="267"/>
      <c r="H8" s="280"/>
    </row>
    <row r="9" spans="1:9" x14ac:dyDescent="0.35">
      <c r="B9" s="276"/>
      <c r="C9" s="277"/>
      <c r="G9" s="267"/>
      <c r="H9" s="280"/>
    </row>
    <row r="10" spans="1:9" s="146" customFormat="1" ht="35" customHeight="1" x14ac:dyDescent="0.35">
      <c r="A10" s="181"/>
      <c r="B10" s="410" t="str">
        <f>'Baseline Inventory'!B10</f>
        <v>1. Raw Material (RM) Extraction &amp; Use Phase</v>
      </c>
      <c r="C10" s="410"/>
      <c r="D10" s="410"/>
      <c r="E10" s="410"/>
      <c r="F10" s="410"/>
      <c r="G10" s="410"/>
      <c r="H10" s="410"/>
      <c r="I10" s="410"/>
    </row>
    <row r="11" spans="1:9" ht="34.5" customHeight="1" x14ac:dyDescent="0.35">
      <c r="B11" s="329" t="str">
        <f>'Baseline Inventory'!B11</f>
        <v xml:space="preserve">Covers the sourcing, quantity, and type of raw materials used in the product or project, including upstream impacts associated with material extraction and processing. Fill the data in relation to the Functional Unit (FU) selected. </v>
      </c>
      <c r="C11" s="329"/>
      <c r="D11" s="329"/>
      <c r="E11" s="329"/>
      <c r="F11" s="329"/>
      <c r="G11" s="329"/>
      <c r="H11" s="329"/>
    </row>
    <row r="12" spans="1:9" s="14" customFormat="1" ht="25.5" customHeight="1" x14ac:dyDescent="0.35">
      <c r="B12" s="27" t="s">
        <v>48</v>
      </c>
      <c r="C12" s="340" t="s">
        <v>51</v>
      </c>
      <c r="D12" s="340"/>
      <c r="E12" s="24" t="s">
        <v>52</v>
      </c>
      <c r="F12" s="35" t="s">
        <v>397</v>
      </c>
      <c r="G12" s="184" t="s">
        <v>54</v>
      </c>
      <c r="H12" s="425" t="s">
        <v>379</v>
      </c>
      <c r="I12" s="425"/>
    </row>
    <row r="13" spans="1:9" s="14" customFormat="1" ht="25.5" customHeight="1" x14ac:dyDescent="0.35">
      <c r="B13" s="417" t="str">
        <f>'Baseline Inventory'!B13</f>
        <v>Raw Material Extraction &amp; Use in the Product Innovation - 0 0</v>
      </c>
      <c r="C13" s="419" t="str">
        <f>'Baseline Inventory'!C13</f>
        <v>Select Material Type</v>
      </c>
      <c r="D13" s="420"/>
      <c r="E13" s="40" t="str">
        <f>'Baseline Inventory'!E13</f>
        <v>Select Material</v>
      </c>
      <c r="F13" s="53">
        <f>VLOOKUP(E13,Material_table[[Material]:[Emission Factor]],2,FALSE)*'Baseline Inventory'!F13</f>
        <v>0</v>
      </c>
      <c r="G13" s="117" t="str">
        <f>"kg-CO₂ eq/" &amp;$C$8 &amp; " " &amp;$D$8</f>
        <v>kg-CO₂ eq/0 0</v>
      </c>
      <c r="H13" s="416">
        <f>'Baseline Inventory'!H13</f>
        <v>0</v>
      </c>
      <c r="I13" s="416"/>
    </row>
    <row r="14" spans="1:9" s="14" customFormat="1" ht="25.5" customHeight="1" x14ac:dyDescent="0.35">
      <c r="B14" s="417"/>
      <c r="C14" s="421" t="str">
        <f>'Baseline Inventory'!C14</f>
        <v>Select Material Type</v>
      </c>
      <c r="D14" s="413"/>
      <c r="E14" s="41" t="str">
        <f>'Baseline Inventory'!E14</f>
        <v>Select Material</v>
      </c>
      <c r="F14" s="53">
        <f>VLOOKUP(E14,Material_table[[Material]:[Emission Factor]],2,FALSE)*'Baseline Inventory'!F14</f>
        <v>0</v>
      </c>
      <c r="G14" s="117" t="str">
        <f t="shared" ref="G14:G27" si="0">"kg-CO₂ eq/" &amp;$C$8 &amp; " " &amp;$D$8</f>
        <v>kg-CO₂ eq/0 0</v>
      </c>
      <c r="H14" s="416"/>
      <c r="I14" s="416"/>
    </row>
    <row r="15" spans="1:9" s="14" customFormat="1" ht="25.5" customHeight="1" x14ac:dyDescent="0.35">
      <c r="B15" s="417"/>
      <c r="C15" s="421" t="str">
        <f>'Baseline Inventory'!C15</f>
        <v>Select Material Type</v>
      </c>
      <c r="D15" s="413"/>
      <c r="E15" s="41" t="str">
        <f>'Baseline Inventory'!E15</f>
        <v>Select Material</v>
      </c>
      <c r="F15" s="54">
        <f>VLOOKUP(E15,Material_table[[Material]:[Emission Factor]],2,FALSE)*'Baseline Inventory'!F15</f>
        <v>0</v>
      </c>
      <c r="G15" s="117" t="str">
        <f t="shared" si="0"/>
        <v>kg-CO₂ eq/0 0</v>
      </c>
      <c r="H15" s="416"/>
      <c r="I15" s="416"/>
    </row>
    <row r="16" spans="1:9" s="14" customFormat="1" ht="25.5" customHeight="1" x14ac:dyDescent="0.35">
      <c r="B16" s="417"/>
      <c r="C16" s="421" t="str">
        <f>'Baseline Inventory'!C16</f>
        <v>Select Material Type</v>
      </c>
      <c r="D16" s="413"/>
      <c r="E16" s="41" t="str">
        <f>'Baseline Inventory'!E16</f>
        <v>Select Material</v>
      </c>
      <c r="F16" s="55">
        <f>VLOOKUP(E16,Material_table[[Material]:[Emission Factor]],2,FALSE)*'Baseline Inventory'!F16</f>
        <v>0</v>
      </c>
      <c r="G16" s="117" t="str">
        <f t="shared" si="0"/>
        <v>kg-CO₂ eq/0 0</v>
      </c>
      <c r="H16" s="416"/>
      <c r="I16" s="416"/>
    </row>
    <row r="17" spans="1:9" s="14" customFormat="1" ht="25.5" customHeight="1" x14ac:dyDescent="0.35">
      <c r="B17" s="417"/>
      <c r="C17" s="421" t="str">
        <f>'Baseline Inventory'!C17</f>
        <v>Select Material Type</v>
      </c>
      <c r="D17" s="413"/>
      <c r="E17" s="41" t="str">
        <f>'Baseline Inventory'!E17</f>
        <v>Select Material</v>
      </c>
      <c r="F17" s="54">
        <f>VLOOKUP(E17,Material_table[[Material]:[Emission Factor]],2,FALSE)*'Baseline Inventory'!F17</f>
        <v>0</v>
      </c>
      <c r="G17" s="117" t="str">
        <f t="shared" si="0"/>
        <v>kg-CO₂ eq/0 0</v>
      </c>
      <c r="H17" s="416"/>
      <c r="I17" s="416"/>
    </row>
    <row r="18" spans="1:9" s="14" customFormat="1" ht="25.5" customHeight="1" x14ac:dyDescent="0.35">
      <c r="B18" s="417"/>
      <c r="C18" s="421" t="str">
        <f>'Baseline Inventory'!C18</f>
        <v>Select Material Type</v>
      </c>
      <c r="D18" s="413"/>
      <c r="E18" s="41" t="str">
        <f>'Baseline Inventory'!E18</f>
        <v>Select Material</v>
      </c>
      <c r="F18" s="55">
        <f>VLOOKUP(E18,Material_table[[Material]:[Emission Factor]],2,FALSE)*'Baseline Inventory'!F18</f>
        <v>0</v>
      </c>
      <c r="G18" s="117" t="str">
        <f t="shared" si="0"/>
        <v>kg-CO₂ eq/0 0</v>
      </c>
      <c r="H18" s="416"/>
      <c r="I18" s="416"/>
    </row>
    <row r="19" spans="1:9" s="14" customFormat="1" ht="25.5" customHeight="1" x14ac:dyDescent="0.35">
      <c r="B19" s="417"/>
      <c r="C19" s="421" t="str">
        <f>'Baseline Inventory'!C19</f>
        <v>Select Material Type</v>
      </c>
      <c r="D19" s="413"/>
      <c r="E19" s="41" t="str">
        <f>'Baseline Inventory'!E19</f>
        <v>Select Material</v>
      </c>
      <c r="F19" s="54">
        <f>VLOOKUP(E19,Material_table[[Material]:[Emission Factor]],2,FALSE)*'Baseline Inventory'!F19</f>
        <v>0</v>
      </c>
      <c r="G19" s="117" t="str">
        <f t="shared" si="0"/>
        <v>kg-CO₂ eq/0 0</v>
      </c>
      <c r="H19" s="416"/>
      <c r="I19" s="416"/>
    </row>
    <row r="20" spans="1:9" s="14" customFormat="1" ht="25.5" customHeight="1" x14ac:dyDescent="0.35">
      <c r="B20" s="417"/>
      <c r="C20" s="421" t="str">
        <f>'Baseline Inventory'!C20</f>
        <v>Select Material Type</v>
      </c>
      <c r="D20" s="413"/>
      <c r="E20" s="41" t="str">
        <f>'Baseline Inventory'!E20</f>
        <v>Select Material</v>
      </c>
      <c r="F20" s="55">
        <f>VLOOKUP(E20,Material_table[[Material]:[Emission Factor]],2,FALSE)*'Baseline Inventory'!F20</f>
        <v>0</v>
      </c>
      <c r="G20" s="117" t="str">
        <f t="shared" si="0"/>
        <v>kg-CO₂ eq/0 0</v>
      </c>
      <c r="H20" s="416"/>
      <c r="I20" s="416"/>
    </row>
    <row r="21" spans="1:9" s="14" customFormat="1" ht="25.5" customHeight="1" x14ac:dyDescent="0.35">
      <c r="B21" s="417"/>
      <c r="C21" s="421" t="str">
        <f>'Baseline Inventory'!C21</f>
        <v>Select Material Type</v>
      </c>
      <c r="D21" s="413"/>
      <c r="E21" s="41" t="str">
        <f>'Baseline Inventory'!E21</f>
        <v>Select Material</v>
      </c>
      <c r="F21" s="54">
        <f>VLOOKUP(E21,Material_table[[Material]:[Emission Factor]],2,FALSE)*'Baseline Inventory'!F21</f>
        <v>0</v>
      </c>
      <c r="G21" s="117" t="str">
        <f t="shared" si="0"/>
        <v>kg-CO₂ eq/0 0</v>
      </c>
      <c r="H21" s="416"/>
      <c r="I21" s="416"/>
    </row>
    <row r="22" spans="1:9" s="14" customFormat="1" ht="25.5" customHeight="1" x14ac:dyDescent="0.35">
      <c r="B22" s="417"/>
      <c r="C22" s="421" t="str">
        <f>'Baseline Inventory'!C22</f>
        <v>Select Material Type</v>
      </c>
      <c r="D22" s="413"/>
      <c r="E22" s="41" t="str">
        <f>'Baseline Inventory'!E22</f>
        <v>Select Material</v>
      </c>
      <c r="F22" s="55">
        <f>VLOOKUP(E22,Material_table[[Material]:[Emission Factor]],2,FALSE)*'Baseline Inventory'!F22</f>
        <v>0</v>
      </c>
      <c r="G22" s="117" t="str">
        <f t="shared" si="0"/>
        <v>kg-CO₂ eq/0 0</v>
      </c>
      <c r="H22" s="416"/>
      <c r="I22" s="416"/>
    </row>
    <row r="23" spans="1:9" s="14" customFormat="1" ht="25.5" customHeight="1" x14ac:dyDescent="0.35">
      <c r="B23" s="417"/>
      <c r="C23" s="421" t="str">
        <f>'Baseline Inventory'!C23</f>
        <v>Select Material Type</v>
      </c>
      <c r="D23" s="413"/>
      <c r="E23" s="41" t="str">
        <f>'Baseline Inventory'!E23</f>
        <v>Select Material</v>
      </c>
      <c r="F23" s="54">
        <f>VLOOKUP(E23,Material_table[[Material]:[Emission Factor]],2,FALSE)*'Baseline Inventory'!F23</f>
        <v>0</v>
      </c>
      <c r="G23" s="117" t="str">
        <f t="shared" si="0"/>
        <v>kg-CO₂ eq/0 0</v>
      </c>
      <c r="H23" s="416"/>
      <c r="I23" s="416"/>
    </row>
    <row r="24" spans="1:9" s="14" customFormat="1" ht="25.5" customHeight="1" x14ac:dyDescent="0.35">
      <c r="B24" s="417"/>
      <c r="C24" s="421" t="str">
        <f>'Baseline Inventory'!C24</f>
        <v>Select Material Type</v>
      </c>
      <c r="D24" s="413"/>
      <c r="E24" s="41" t="str">
        <f>'Baseline Inventory'!E24</f>
        <v>Select Material</v>
      </c>
      <c r="F24" s="55">
        <f>VLOOKUP(E24,Material_table[[Material]:[Emission Factor]],2,FALSE)*'Baseline Inventory'!F24</f>
        <v>0</v>
      </c>
      <c r="G24" s="117" t="str">
        <f t="shared" si="0"/>
        <v>kg-CO₂ eq/0 0</v>
      </c>
      <c r="H24" s="416"/>
      <c r="I24" s="416"/>
    </row>
    <row r="25" spans="1:9" s="14" customFormat="1" ht="25.5" customHeight="1" x14ac:dyDescent="0.35">
      <c r="B25" s="417"/>
      <c r="C25" s="421" t="str">
        <f>'Baseline Inventory'!C25</f>
        <v>Select Material Type</v>
      </c>
      <c r="D25" s="413"/>
      <c r="E25" s="41" t="str">
        <f>'Baseline Inventory'!E25</f>
        <v>Select Material</v>
      </c>
      <c r="F25" s="54">
        <f>VLOOKUP(E25,Material_table[[Material]:[Emission Factor]],2,FALSE)*'Baseline Inventory'!F25</f>
        <v>0</v>
      </c>
      <c r="G25" s="117" t="str">
        <f t="shared" si="0"/>
        <v>kg-CO₂ eq/0 0</v>
      </c>
      <c r="H25" s="416"/>
      <c r="I25" s="416"/>
    </row>
    <row r="26" spans="1:9" s="14" customFormat="1" ht="25.5" customHeight="1" x14ac:dyDescent="0.35">
      <c r="B26" s="417"/>
      <c r="C26" s="421" t="str">
        <f>'Baseline Inventory'!C26</f>
        <v>Select Material Type</v>
      </c>
      <c r="D26" s="413"/>
      <c r="E26" s="41" t="str">
        <f>'Baseline Inventory'!E26</f>
        <v>Select Material</v>
      </c>
      <c r="F26" s="55">
        <f>VLOOKUP(E26,Material_table[[Material]:[Emission Factor]],2,FALSE)*'Baseline Inventory'!F26</f>
        <v>0</v>
      </c>
      <c r="G26" s="117" t="str">
        <f t="shared" si="0"/>
        <v>kg-CO₂ eq/0 0</v>
      </c>
      <c r="H26" s="416"/>
      <c r="I26" s="416"/>
    </row>
    <row r="27" spans="1:9" s="14" customFormat="1" ht="25.5" customHeight="1" x14ac:dyDescent="0.35">
      <c r="B27" s="417"/>
      <c r="C27" s="426" t="str">
        <f>'Baseline Inventory'!C27</f>
        <v>Select Material Type</v>
      </c>
      <c r="D27" s="427"/>
      <c r="E27" s="42" t="str">
        <f>'Baseline Inventory'!E27</f>
        <v>Select Material</v>
      </c>
      <c r="F27" s="54">
        <f>VLOOKUP(E27,Material_table[[Material]:[Emission Factor]],2,FALSE)*'Baseline Inventory'!F27</f>
        <v>0</v>
      </c>
      <c r="G27" s="117" t="str">
        <f t="shared" si="0"/>
        <v>kg-CO₂ eq/0 0</v>
      </c>
      <c r="H27" s="416"/>
      <c r="I27" s="416"/>
    </row>
    <row r="28" spans="1:9" s="14" customFormat="1" ht="25.5" customHeight="1" x14ac:dyDescent="0.35">
      <c r="B28" s="389" t="str">
        <f>'Baseline Inventory'!B28</f>
        <v>Raw Material Extraction &amp; Use in the Product Innovation - Total - 0 0</v>
      </c>
      <c r="C28" s="389"/>
      <c r="D28" s="389"/>
      <c r="E28" s="405"/>
      <c r="F28" s="57">
        <f>SUM(F13:F27)</f>
        <v>0</v>
      </c>
      <c r="G28" s="117" t="str">
        <f>"kg-CO₂ eq/" &amp;$C$8 &amp; " " &amp;$D$8</f>
        <v>kg-CO₂ eq/0 0</v>
      </c>
      <c r="H28" s="416"/>
      <c r="I28" s="416"/>
    </row>
    <row r="29" spans="1:9" ht="24.5" customHeight="1" x14ac:dyDescent="0.35">
      <c r="G29" s="267"/>
      <c r="H29" s="280"/>
    </row>
    <row r="30" spans="1:9" s="279" customFormat="1" ht="34.5" customHeight="1" x14ac:dyDescent="0.35">
      <c r="A30" s="181"/>
      <c r="B30" s="411" t="s">
        <v>656</v>
      </c>
      <c r="C30" s="411"/>
      <c r="D30" s="411"/>
      <c r="E30" s="412"/>
      <c r="F30" s="278">
        <f>F28</f>
        <v>0</v>
      </c>
      <c r="G30" s="409" t="s">
        <v>653</v>
      </c>
      <c r="H30" s="409"/>
      <c r="I30" s="409"/>
    </row>
    <row r="31" spans="1:9" ht="20" customHeight="1" x14ac:dyDescent="0.35">
      <c r="C31" s="147"/>
      <c r="D31" s="147"/>
      <c r="E31" s="147"/>
      <c r="G31" s="280"/>
      <c r="H31" s="280"/>
    </row>
    <row r="32" spans="1:9" ht="20" customHeight="1" x14ac:dyDescent="0.35"/>
    <row r="33" spans="1:9" s="146" customFormat="1" ht="34.5" customHeight="1" x14ac:dyDescent="0.35">
      <c r="A33" s="181"/>
      <c r="B33" s="410" t="str">
        <f>'Baseline Inventory'!B31</f>
        <v xml:space="preserve">2. Manufacturing Phase - Energy Use </v>
      </c>
      <c r="C33" s="410"/>
      <c r="D33" s="410"/>
      <c r="E33" s="410"/>
      <c r="F33" s="410"/>
      <c r="G33" s="410"/>
      <c r="H33" s="410"/>
      <c r="I33" s="410"/>
    </row>
    <row r="34" spans="1:9" ht="34.5" customHeight="1" x14ac:dyDescent="0.35">
      <c r="B34" s="329" t="str">
        <f>'Baseline Inventory'!B32</f>
        <v xml:space="preserve">Accounts for energy consumed during manufacturing or processing activities, including electricity and fuel use, to estimate associated greenhouse gas emissions. Fill the data in relation to the Functional Unit (FU) selected. </v>
      </c>
      <c r="C34" s="329"/>
      <c r="D34" s="329"/>
      <c r="E34" s="329"/>
      <c r="F34" s="329"/>
      <c r="G34" s="329"/>
      <c r="H34" s="329"/>
      <c r="I34" s="329"/>
    </row>
    <row r="35" spans="1:9" s="14" customFormat="1" ht="25.5" customHeight="1" x14ac:dyDescent="0.35">
      <c r="B35" s="375" t="s">
        <v>425</v>
      </c>
      <c r="C35" s="375"/>
      <c r="D35" s="375"/>
      <c r="E35" s="375"/>
      <c r="F35" s="35" t="s">
        <v>397</v>
      </c>
      <c r="G35" s="184" t="s">
        <v>23</v>
      </c>
      <c r="H35" s="425" t="s">
        <v>379</v>
      </c>
      <c r="I35" s="425"/>
    </row>
    <row r="36" spans="1:9" s="14" customFormat="1" ht="25.5" customHeight="1" x14ac:dyDescent="0.35">
      <c r="B36" s="389" t="str">
        <f>'Baseline Inventory'!B34</f>
        <v>Energy needed to manufacture - 0 0</v>
      </c>
      <c r="C36" s="389"/>
      <c r="D36" s="389"/>
      <c r="E36" s="405"/>
      <c r="F36" s="54">
        <f>SUM(F39:F43)</f>
        <v>0</v>
      </c>
      <c r="G36" s="117" t="str">
        <f>"kg-CO₂ eq/" &amp;$C$8 &amp; " " &amp;$D$8</f>
        <v>kg-CO₂ eq/0 0</v>
      </c>
      <c r="H36" s="416">
        <f>'Baseline Inventory'!H34</f>
        <v>0</v>
      </c>
      <c r="I36" s="416"/>
    </row>
    <row r="37" spans="1:9" ht="40" customHeight="1" x14ac:dyDescent="0.35"/>
    <row r="38" spans="1:9" s="14" customFormat="1" ht="25.5" customHeight="1" x14ac:dyDescent="0.35">
      <c r="B38" s="27" t="s">
        <v>21</v>
      </c>
      <c r="C38" s="340" t="s">
        <v>22</v>
      </c>
      <c r="D38" s="340"/>
      <c r="E38" s="27" t="s">
        <v>56</v>
      </c>
      <c r="F38" s="35" t="s">
        <v>397</v>
      </c>
      <c r="G38" s="184" t="s">
        <v>23</v>
      </c>
      <c r="H38" s="425" t="s">
        <v>379</v>
      </c>
      <c r="I38" s="425"/>
    </row>
    <row r="39" spans="1:9" s="14" customFormat="1" ht="25.5" customHeight="1" x14ac:dyDescent="0.35">
      <c r="B39" s="417" t="str">
        <f>'Baseline Inventory'!B37</f>
        <v>Energy Sources used in your operations
(Select multiple if you are using more than one source from the dropdown)*</v>
      </c>
      <c r="C39" s="415" t="str">
        <f>'Baseline Inventory'!C37</f>
        <v>Select Power Source</v>
      </c>
      <c r="D39" s="415"/>
      <c r="E39" s="49">
        <f>'Baseline Inventory'!E37</f>
        <v>0</v>
      </c>
      <c r="F39" s="58">
        <f>VLOOKUP(C39,CO2eq_Fuel_table[],2,FALSE)*'Baseline Inventory'!F37</f>
        <v>0</v>
      </c>
      <c r="G39" s="117" t="str">
        <f>"kg-CO₂ eq/" &amp;$C$8 &amp; " " &amp;$D$8</f>
        <v>kg-CO₂ eq/0 0</v>
      </c>
      <c r="H39" s="416">
        <f>'Baseline Inventory'!H37</f>
        <v>0</v>
      </c>
      <c r="I39" s="416"/>
    </row>
    <row r="40" spans="1:9" s="14" customFormat="1" ht="25.5" customHeight="1" x14ac:dyDescent="0.35">
      <c r="B40" s="417"/>
      <c r="C40" s="415" t="str">
        <f>'Baseline Inventory'!C38</f>
        <v>Select Power Source</v>
      </c>
      <c r="D40" s="415"/>
      <c r="E40" s="49">
        <f>'Baseline Inventory'!E38</f>
        <v>0</v>
      </c>
      <c r="F40" s="59">
        <f>VLOOKUP(C40,CO2eq_Fuel_table[],2,FALSE)*'Baseline Inventory'!F38</f>
        <v>0</v>
      </c>
      <c r="G40" s="117" t="str">
        <f t="shared" ref="G40:G43" si="1">"kg-CO₂ eq/" &amp;$C$8 &amp; " " &amp;$D$8</f>
        <v>kg-CO₂ eq/0 0</v>
      </c>
      <c r="H40" s="416"/>
      <c r="I40" s="416"/>
    </row>
    <row r="41" spans="1:9" s="14" customFormat="1" ht="25.5" customHeight="1" x14ac:dyDescent="0.35">
      <c r="B41" s="417"/>
      <c r="C41" s="415" t="str">
        <f>'Baseline Inventory'!C39</f>
        <v>Select Power Source</v>
      </c>
      <c r="D41" s="415"/>
      <c r="E41" s="49">
        <f>'Baseline Inventory'!E39</f>
        <v>0</v>
      </c>
      <c r="F41" s="60">
        <f>VLOOKUP(C41,CO2eq_Fuel_table[],2,FALSE)*'Baseline Inventory'!F39</f>
        <v>0</v>
      </c>
      <c r="G41" s="117" t="str">
        <f t="shared" si="1"/>
        <v>kg-CO₂ eq/0 0</v>
      </c>
      <c r="H41" s="416"/>
      <c r="I41" s="416"/>
    </row>
    <row r="42" spans="1:9" s="14" customFormat="1" ht="25.5" customHeight="1" x14ac:dyDescent="0.35">
      <c r="B42" s="417"/>
      <c r="C42" s="415" t="str">
        <f>'Baseline Inventory'!C40</f>
        <v>Select Power Source</v>
      </c>
      <c r="D42" s="415"/>
      <c r="E42" s="49">
        <f>'Baseline Inventory'!E40</f>
        <v>0</v>
      </c>
      <c r="F42" s="59">
        <f>VLOOKUP(C42,CO2eq_Fuel_table[],2,FALSE)*'Baseline Inventory'!F40</f>
        <v>0</v>
      </c>
      <c r="G42" s="117" t="str">
        <f t="shared" si="1"/>
        <v>kg-CO₂ eq/0 0</v>
      </c>
      <c r="H42" s="416"/>
      <c r="I42" s="416"/>
    </row>
    <row r="43" spans="1:9" s="14" customFormat="1" ht="25.5" customHeight="1" x14ac:dyDescent="0.35">
      <c r="B43" s="417"/>
      <c r="C43" s="415" t="str">
        <f>'Baseline Inventory'!C41</f>
        <v>Select Power Source</v>
      </c>
      <c r="D43" s="415"/>
      <c r="E43" s="49">
        <f>'Baseline Inventory'!E41</f>
        <v>0</v>
      </c>
      <c r="F43" s="59">
        <f>VLOOKUP(C43,CO2eq_Fuel_table[],2,FALSE)*'Baseline Inventory'!F41</f>
        <v>0</v>
      </c>
      <c r="G43" s="117" t="str">
        <f t="shared" si="1"/>
        <v>kg-CO₂ eq/0 0</v>
      </c>
      <c r="H43" s="416"/>
      <c r="I43" s="416"/>
    </row>
    <row r="44" spans="1:9" s="14" customFormat="1" ht="25.5" customHeight="1" x14ac:dyDescent="0.35">
      <c r="B44" s="417"/>
      <c r="C44" s="428" t="s">
        <v>24</v>
      </c>
      <c r="D44" s="429"/>
      <c r="E44" s="141">
        <f>SUM(E39:E43)</f>
        <v>0</v>
      </c>
      <c r="F44" s="51"/>
      <c r="H44" s="18"/>
    </row>
    <row r="45" spans="1:9" ht="25.5" customHeight="1" x14ac:dyDescent="0.35">
      <c r="C45" s="280"/>
      <c r="D45" s="280"/>
      <c r="E45" s="281"/>
      <c r="H45" s="280"/>
    </row>
    <row r="46" spans="1:9" s="14" customFormat="1" ht="25.5" customHeight="1" x14ac:dyDescent="0.35">
      <c r="B46" s="27" t="s">
        <v>49</v>
      </c>
      <c r="C46" s="340" t="s">
        <v>55</v>
      </c>
      <c r="D46" s="340"/>
      <c r="E46" s="340"/>
      <c r="F46" s="35" t="s">
        <v>397</v>
      </c>
      <c r="G46" s="184" t="s">
        <v>54</v>
      </c>
      <c r="H46" s="425" t="s">
        <v>379</v>
      </c>
      <c r="I46" s="425"/>
    </row>
    <row r="47" spans="1:9" s="14" customFormat="1" ht="25.5" customHeight="1" x14ac:dyDescent="0.35">
      <c r="B47" s="43" t="str">
        <f>'Baseline Inventory'!B45</f>
        <v>Water used to manufacture - 0 0</v>
      </c>
      <c r="C47" s="413" t="str">
        <f>'Baseline Inventory'!C45</f>
        <v>Select Water Type</v>
      </c>
      <c r="D47" s="413"/>
      <c r="E47" s="414"/>
      <c r="F47" s="54" t="e">
        <f>VLOOKUP(C47,Material_table[[Material]:[Emission Factor]],2,FALSE)*'Baseline Inventory'!F45</f>
        <v>#VALUE!</v>
      </c>
      <c r="G47" s="117" t="str">
        <f>"kg-CO₂ eq/" &amp;$C$8 &amp; " " &amp;$D$8</f>
        <v>kg-CO₂ eq/0 0</v>
      </c>
      <c r="H47" s="416">
        <f>'Baseline Inventory'!H45</f>
        <v>0</v>
      </c>
      <c r="I47" s="416"/>
    </row>
    <row r="48" spans="1:9" ht="24.5" customHeight="1" x14ac:dyDescent="0.35">
      <c r="C48" s="280"/>
      <c r="E48" s="282"/>
      <c r="H48" s="280"/>
    </row>
    <row r="49" spans="1:9" s="279" customFormat="1" ht="34.5" customHeight="1" x14ac:dyDescent="0.35">
      <c r="A49" s="181"/>
      <c r="B49" s="411" t="s">
        <v>454</v>
      </c>
      <c r="C49" s="411"/>
      <c r="D49" s="411"/>
      <c r="E49" s="412"/>
      <c r="F49" s="278" t="e">
        <f>SUM(F36,F47)</f>
        <v>#VALUE!</v>
      </c>
      <c r="G49" s="409" t="s">
        <v>653</v>
      </c>
      <c r="H49" s="409"/>
      <c r="I49" s="409"/>
    </row>
    <row r="50" spans="1:9" ht="20" customHeight="1" x14ac:dyDescent="0.35">
      <c r="F50" s="181"/>
    </row>
    <row r="51" spans="1:9" ht="20" customHeight="1" x14ac:dyDescent="0.35">
      <c r="F51" s="181"/>
    </row>
    <row r="52" spans="1:9" s="146" customFormat="1" ht="32" customHeight="1" x14ac:dyDescent="0.35">
      <c r="A52" s="181"/>
      <c r="B52" s="410" t="str">
        <f>'Baseline Inventory'!B48</f>
        <v>3. Transportation Phase</v>
      </c>
      <c r="C52" s="410"/>
      <c r="D52" s="410"/>
      <c r="E52" s="410"/>
      <c r="F52" s="410"/>
      <c r="G52" s="410"/>
      <c r="H52" s="410"/>
      <c r="I52" s="410"/>
    </row>
    <row r="53" spans="1:9" ht="32" customHeight="1" x14ac:dyDescent="0.35">
      <c r="B53" s="418" t="str">
        <f>'Baseline Inventory'!B49</f>
        <v xml:space="preserve">Includes data on the transportation of raw materials, intermediate goods, and finished products, capturing distances, modes of transport, and fuel types. Fill the data in relation to the Functional Unit (FU) selected. </v>
      </c>
      <c r="C53" s="418"/>
      <c r="D53" s="418"/>
      <c r="E53" s="418"/>
      <c r="F53" s="418"/>
      <c r="G53" s="418"/>
      <c r="H53" s="418"/>
      <c r="I53" s="418"/>
    </row>
    <row r="54" spans="1:9" s="14" customFormat="1" ht="25.5" customHeight="1" x14ac:dyDescent="0.35">
      <c r="B54" s="27" t="s">
        <v>21</v>
      </c>
      <c r="C54" s="24" t="s">
        <v>383</v>
      </c>
      <c r="D54" s="24" t="s">
        <v>42</v>
      </c>
      <c r="E54" s="24" t="s">
        <v>381</v>
      </c>
      <c r="F54" s="35" t="s">
        <v>397</v>
      </c>
      <c r="G54" s="25" t="s">
        <v>44</v>
      </c>
      <c r="H54" s="25" t="s">
        <v>45</v>
      </c>
      <c r="I54" s="68" t="s">
        <v>379</v>
      </c>
    </row>
    <row r="55" spans="1:9" s="14" customFormat="1" ht="25.5" customHeight="1" x14ac:dyDescent="0.35">
      <c r="B55" s="43" t="str">
        <f>'Baseline Inventory'!B51</f>
        <v>RM Sourcing - 0 0</v>
      </c>
      <c r="C55" s="48" t="str">
        <f>'Baseline Inventory'!C51</f>
        <v>Select Vehicle Category</v>
      </c>
      <c r="D55" s="48" t="str">
        <f>'Baseline Inventory'!D51</f>
        <v>Select Vehicle Type</v>
      </c>
      <c r="E55" s="41" t="str">
        <f>'Baseline Inventory'!E51</f>
        <v>Select Fuel Type</v>
      </c>
      <c r="F55" s="53" cm="1">
        <f t="array" ref="F55">IFERROR(
  INDEX(
    Transport_table[Emission factors],
    MATCH(
      1,
      (Transport_table[Vehicle Type]=D55) *
      (Transport_table[Fuel Type]=E55),
      0
    )
  ) * 'Baseline Inventory'!F51 * 0.001,
""
)</f>
        <v>0</v>
      </c>
      <c r="G55" s="45" t="str">
        <f t="shared" ref="G55:G59" si="2">"kg-CO₂ eq/" &amp;$C$8 &amp; " " &amp;$D$8</f>
        <v>kg-CO₂ eq/0 0</v>
      </c>
      <c r="H55" s="107" t="str">
        <f>'Baseline Inventory'!H51</f>
        <v>Select Ownership</v>
      </c>
      <c r="I55" s="416">
        <f>'Baseline Inventory'!I51</f>
        <v>0</v>
      </c>
    </row>
    <row r="56" spans="1:9" s="14" customFormat="1" ht="25.5" customHeight="1" x14ac:dyDescent="0.35">
      <c r="B56" s="43" t="str">
        <f>'Baseline Inventory'!B52</f>
        <v>Product Distribution to Suppliers - 0 0</v>
      </c>
      <c r="C56" s="48" t="str">
        <f>'Baseline Inventory'!C52</f>
        <v>Select Vehicle Category</v>
      </c>
      <c r="D56" s="48" t="str">
        <f>'Baseline Inventory'!D52</f>
        <v>Select Vehicle Type</v>
      </c>
      <c r="E56" s="41" t="str">
        <f>'Baseline Inventory'!E52</f>
        <v>Select Fuel Type</v>
      </c>
      <c r="F56" s="53" cm="1">
        <f t="array" ref="F56">IFERROR(
  INDEX(
    Transport_table[Emission factors],
    MATCH(
      1,
      (Transport_table[Vehicle Type]=D56) *
      (Transport_table[Fuel Type]=E56),
      0
    )
  ) * 'Baseline Inventory'!F52 * 0.001,
""
)</f>
        <v>0</v>
      </c>
      <c r="G56" s="45" t="str">
        <f t="shared" si="2"/>
        <v>kg-CO₂ eq/0 0</v>
      </c>
      <c r="H56" s="107" t="str">
        <f>'Baseline Inventory'!H52</f>
        <v>Select Ownership</v>
      </c>
      <c r="I56" s="416"/>
    </row>
    <row r="57" spans="1:9" s="14" customFormat="1" ht="25.5" customHeight="1" x14ac:dyDescent="0.35">
      <c r="B57" s="264" t="str">
        <f>'Baseline Inventory'!B53</f>
        <v>Add additional transport, if necessary</v>
      </c>
      <c r="C57" s="48" t="str">
        <f>'Baseline Inventory'!C53</f>
        <v>Select Vehicle Category</v>
      </c>
      <c r="D57" s="48" t="str">
        <f>'Baseline Inventory'!D53</f>
        <v>Select Vehicle Type</v>
      </c>
      <c r="E57" s="41" t="str">
        <f>'Baseline Inventory'!E53</f>
        <v>Select Fuel Type</v>
      </c>
      <c r="F57" s="53" cm="1">
        <f t="array" ref="F57">IFERROR(
  INDEX(
    Transport_table[Emission factors],
    MATCH(
      1,
      (Transport_table[Vehicle Type]=D57) *
      (Transport_table[Fuel Type]=E57),
      0
    )
  ) * 'Baseline Inventory'!F53 * 0.001,
""
)</f>
        <v>0</v>
      </c>
      <c r="G57" s="45" t="str">
        <f t="shared" si="2"/>
        <v>kg-CO₂ eq/0 0</v>
      </c>
      <c r="H57" s="107" t="str">
        <f>'Baseline Inventory'!H53</f>
        <v>Select Ownership</v>
      </c>
      <c r="I57" s="416"/>
    </row>
    <row r="58" spans="1:9" s="14" customFormat="1" ht="25.5" customHeight="1" x14ac:dyDescent="0.35">
      <c r="B58" s="264" t="str">
        <f>'Baseline Inventory'!B54</f>
        <v>Add additional transport, if necessary</v>
      </c>
      <c r="C58" s="48" t="str">
        <f>'Baseline Inventory'!C54</f>
        <v>Select Vehicle Category</v>
      </c>
      <c r="D58" s="48" t="str">
        <f>'Baseline Inventory'!D54</f>
        <v>Select Vehicle Type</v>
      </c>
      <c r="E58" s="41" t="str">
        <f>'Baseline Inventory'!E54</f>
        <v>Select Fuel Type</v>
      </c>
      <c r="F58" s="53" cm="1">
        <f t="array" ref="F58">IFERROR(
  INDEX(
    Transport_table[Emission factors],
    MATCH(
      1,
      (Transport_table[Vehicle Type]=D58) *
      (Transport_table[Fuel Type]=E58),
      0
    )
  ) * 'Baseline Inventory'!F54 * 0.001,
""
)</f>
        <v>0</v>
      </c>
      <c r="G58" s="45" t="str">
        <f t="shared" si="2"/>
        <v>kg-CO₂ eq/0 0</v>
      </c>
      <c r="H58" s="107" t="str">
        <f>'Baseline Inventory'!H54</f>
        <v>Select Ownership</v>
      </c>
      <c r="I58" s="416"/>
    </row>
    <row r="59" spans="1:9" s="14" customFormat="1" ht="25.5" customHeight="1" x14ac:dyDescent="0.35">
      <c r="B59" s="264" t="str">
        <f>'Baseline Inventory'!B55</f>
        <v>Add additional transport, if necessary</v>
      </c>
      <c r="C59" s="48" t="str">
        <f>'Baseline Inventory'!C55</f>
        <v>Select Vehicle Category</v>
      </c>
      <c r="D59" s="48" t="str">
        <f>'Baseline Inventory'!D55</f>
        <v>Select Vehicle Type</v>
      </c>
      <c r="E59" s="41" t="str">
        <f>'Baseline Inventory'!E55</f>
        <v>Select Fuel Type</v>
      </c>
      <c r="F59" s="53" cm="1">
        <f t="array" ref="F59">IFERROR(
  INDEX(
    Transport_table[Emission factors],
    MATCH(
      1,
      (Transport_table[Vehicle Type]=D59) *
      (Transport_table[Fuel Type]=E59),
      0
    )
  ) * 'Baseline Inventory'!F55 * 0.001,
""
)</f>
        <v>0</v>
      </c>
      <c r="G59" s="45" t="str">
        <f t="shared" si="2"/>
        <v>kg-CO₂ eq/0 0</v>
      </c>
      <c r="H59" s="107" t="str">
        <f>'Baseline Inventory'!H55</f>
        <v>Select Ownership</v>
      </c>
      <c r="I59" s="416"/>
    </row>
    <row r="60" spans="1:9" ht="25.5" customHeight="1" x14ac:dyDescent="0.35">
      <c r="B60" s="283"/>
      <c r="G60" s="280"/>
      <c r="H60" s="280"/>
    </row>
    <row r="61" spans="1:9" s="279" customFormat="1" ht="34.5" customHeight="1" x14ac:dyDescent="0.35">
      <c r="A61" s="181"/>
      <c r="B61" s="411" t="s">
        <v>447</v>
      </c>
      <c r="C61" s="411"/>
      <c r="D61" s="411"/>
      <c r="E61" s="412"/>
      <c r="F61" s="278">
        <f>SUM(F55:F59)</f>
        <v>0</v>
      </c>
      <c r="G61" s="409" t="s">
        <v>653</v>
      </c>
      <c r="H61" s="409"/>
      <c r="I61" s="409"/>
    </row>
    <row r="62" spans="1:9" ht="20" customHeight="1" x14ac:dyDescent="0.35">
      <c r="H62" s="280"/>
    </row>
    <row r="63" spans="1:9" ht="20" customHeight="1" x14ac:dyDescent="0.35"/>
    <row r="64" spans="1:9" s="146" customFormat="1" ht="34.5" customHeight="1" x14ac:dyDescent="0.35">
      <c r="A64" s="181"/>
      <c r="B64" s="410" t="str">
        <f>'Baseline Inventory'!B58</f>
        <v>4. End-of-Life (EoL) Treatment Phase</v>
      </c>
      <c r="C64" s="410"/>
      <c r="D64" s="410"/>
      <c r="E64" s="410"/>
      <c r="F64" s="410"/>
      <c r="G64" s="410"/>
      <c r="H64" s="410"/>
      <c r="I64" s="410"/>
    </row>
    <row r="65" spans="1:9" ht="34.5" customHeight="1" x14ac:dyDescent="0.35">
      <c r="B65" s="325" t="str">
        <f>'Baseline Inventory'!B59</f>
        <v xml:space="preserve">Assesses emissions and impacts associated with the disposal, recycling, recovery, or treatment of the product at the end of its useful life. Fill the data in relation to the Functional Unit (FU) selected. </v>
      </c>
      <c r="C65" s="325"/>
      <c r="D65" s="325"/>
      <c r="E65" s="325"/>
      <c r="F65" s="325"/>
      <c r="G65" s="325"/>
      <c r="H65" s="325"/>
      <c r="I65" s="325"/>
    </row>
    <row r="66" spans="1:9" s="14" customFormat="1" ht="25.5" customHeight="1" x14ac:dyDescent="0.35">
      <c r="B66" s="27" t="s">
        <v>21</v>
      </c>
      <c r="C66" s="340" t="s">
        <v>396</v>
      </c>
      <c r="D66" s="340"/>
      <c r="E66" s="27" t="s">
        <v>56</v>
      </c>
      <c r="F66" s="35" t="s">
        <v>640</v>
      </c>
      <c r="G66" s="184" t="s">
        <v>54</v>
      </c>
      <c r="H66" s="425" t="s">
        <v>379</v>
      </c>
      <c r="I66" s="425"/>
    </row>
    <row r="67" spans="1:9" s="14" customFormat="1" ht="25.5" customHeight="1" x14ac:dyDescent="0.35">
      <c r="B67" s="43" t="str">
        <f>'Baseline Inventory'!B61</f>
        <v>End of life treatment</v>
      </c>
      <c r="C67" s="413" t="str">
        <f>'Baseline Inventory'!C61</f>
        <v>Select Treatment Process</v>
      </c>
      <c r="D67" s="413"/>
      <c r="E67" s="71">
        <f>'Baseline Inventory'!E61</f>
        <v>0</v>
      </c>
      <c r="F67" s="62" t="str">
        <f>IF('Baseline Inventory'!F61="n/a","n/a",VLOOKUP(C67,Table5[[Treatment Process]:[CO₂ eq Emission Factor ]],2,FALSE)*'Baseline Inventory'!F61)</f>
        <v>n/a</v>
      </c>
      <c r="G67" s="45" t="str">
        <f t="shared" ref="G67:G70" si="3">"kg-CO₂ eq/" &amp;$C$8 &amp; " " &amp;$D$8</f>
        <v>kg-CO₂ eq/0 0</v>
      </c>
      <c r="H67" s="416">
        <f>'Baseline Inventory'!H61</f>
        <v>0</v>
      </c>
      <c r="I67" s="416"/>
    </row>
    <row r="68" spans="1:9" s="14" customFormat="1" ht="25.5" customHeight="1" x14ac:dyDescent="0.35">
      <c r="B68" s="43" t="str">
        <f>'Baseline Inventory'!B62</f>
        <v>End of life treatment</v>
      </c>
      <c r="C68" s="413" t="str">
        <f>'Baseline Inventory'!C62</f>
        <v>Select Treatment Process</v>
      </c>
      <c r="D68" s="413"/>
      <c r="E68" s="71">
        <f>'Baseline Inventory'!E62</f>
        <v>0</v>
      </c>
      <c r="F68" s="62" t="str">
        <f>IF('Baseline Inventory'!F62="n/a","n/a",VLOOKUP(C68,Table5[[Treatment Process]:[CO₂ eq Emission Factor ]],2,FALSE)*'Baseline Inventory'!F62)</f>
        <v>n/a</v>
      </c>
      <c r="G68" s="45" t="str">
        <f t="shared" si="3"/>
        <v>kg-CO₂ eq/0 0</v>
      </c>
      <c r="H68" s="416"/>
      <c r="I68" s="416"/>
    </row>
    <row r="69" spans="1:9" s="14" customFormat="1" ht="25.5" customHeight="1" x14ac:dyDescent="0.35">
      <c r="B69" s="43" t="str">
        <f>'Baseline Inventory'!B63</f>
        <v>End of life treatment</v>
      </c>
      <c r="C69" s="413" t="str">
        <f>'Baseline Inventory'!C63</f>
        <v>Select Treatment Process</v>
      </c>
      <c r="D69" s="413"/>
      <c r="E69" s="71">
        <f>'Baseline Inventory'!E63</f>
        <v>0</v>
      </c>
      <c r="F69" s="62" t="str">
        <f>IF('Baseline Inventory'!F63="n/a","n/a",VLOOKUP(C69,Table5[[Treatment Process]:[CO₂ eq Emission Factor ]],2,FALSE)*'Baseline Inventory'!F63)</f>
        <v>n/a</v>
      </c>
      <c r="G69" s="45" t="str">
        <f t="shared" si="3"/>
        <v>kg-CO₂ eq/0 0</v>
      </c>
      <c r="H69" s="416"/>
      <c r="I69" s="416"/>
    </row>
    <row r="70" spans="1:9" s="14" customFormat="1" ht="25.5" customHeight="1" x14ac:dyDescent="0.35">
      <c r="B70" s="43" t="str">
        <f>'Baseline Inventory'!B64</f>
        <v>End of life treatment</v>
      </c>
      <c r="C70" s="413" t="str">
        <f>'Baseline Inventory'!C64</f>
        <v>Select Treatment Process</v>
      </c>
      <c r="D70" s="413"/>
      <c r="E70" s="71">
        <f>'Baseline Inventory'!E64</f>
        <v>0</v>
      </c>
      <c r="F70" s="62" t="str">
        <f>IF('Baseline Inventory'!F64="n/a","n/a",VLOOKUP(C70,Table5[[Treatment Process]:[CO₂ eq Emission Factor ]],2,FALSE)*'Baseline Inventory'!F64)</f>
        <v>n/a</v>
      </c>
      <c r="G70" s="45" t="str">
        <f t="shared" si="3"/>
        <v>kg-CO₂ eq/0 0</v>
      </c>
      <c r="H70" s="416"/>
      <c r="I70" s="416"/>
    </row>
    <row r="71" spans="1:9" ht="24.5" customHeight="1" x14ac:dyDescent="0.35">
      <c r="E71" s="284"/>
      <c r="G71" s="280"/>
    </row>
    <row r="72" spans="1:9" s="279" customFormat="1" ht="34.5" customHeight="1" x14ac:dyDescent="0.35">
      <c r="A72" s="181"/>
      <c r="B72" s="422" t="s">
        <v>453</v>
      </c>
      <c r="C72" s="422"/>
      <c r="D72" s="422"/>
      <c r="E72" s="285">
        <f>'Baseline Inventory'!E65</f>
        <v>0</v>
      </c>
      <c r="F72" s="286" t="str">
        <f>IF('Project Description'!$C$20="Cradle-to-Grave",SUM(F67:F70),"n/a")</f>
        <v>n/a</v>
      </c>
      <c r="G72" s="409" t="s">
        <v>653</v>
      </c>
      <c r="H72" s="409"/>
      <c r="I72" s="409"/>
    </row>
    <row r="73" spans="1:9" ht="24.5" customHeight="1" x14ac:dyDescent="0.35"/>
    <row r="74" spans="1:9" ht="24.5" customHeight="1" x14ac:dyDescent="0.35"/>
    <row r="75" spans="1:9" s="279" customFormat="1" ht="34.5" customHeight="1" x14ac:dyDescent="0.35">
      <c r="A75" s="181"/>
      <c r="B75" s="411" t="s">
        <v>448</v>
      </c>
      <c r="C75" s="411"/>
      <c r="D75" s="411"/>
      <c r="E75" s="412"/>
      <c r="F75" s="287" t="e">
        <f>IF('Project Description'!C20="Cradle-to-Grave",SUM('Baseline Emissions'!F72,'Baseline Emissions'!F61,'Baseline Emissions'!F49,'Baseline Emissions'!F30),SUM('Baseline Emissions'!F61,'Baseline Emissions'!F49,'Baseline Emissions'!F30))</f>
        <v>#VALUE!</v>
      </c>
      <c r="G75" s="409" t="s">
        <v>653</v>
      </c>
      <c r="H75" s="409"/>
      <c r="I75" s="409"/>
    </row>
  </sheetData>
  <sheetProtection algorithmName="SHA-512" hashValue="9HKe/uWoTbtSDstaHt9RznJ6aNHZFatUGGOtgwF9Q8CxKCpsLZt1wgK/tvW8lbE4ZkPCJGyUAYOLokWN5VOZxQ==" saltValue="dpLoXcnsuYoZrGyPgWEgVw==" spinCount="100000" sheet="1" objects="1" scenarios="1"/>
  <mergeCells count="67">
    <mergeCell ref="C66:D66"/>
    <mergeCell ref="C67:D67"/>
    <mergeCell ref="B13:B27"/>
    <mergeCell ref="C17:D17"/>
    <mergeCell ref="C18:D18"/>
    <mergeCell ref="C19:D19"/>
    <mergeCell ref="C20:D20"/>
    <mergeCell ref="C21:D21"/>
    <mergeCell ref="C22:D22"/>
    <mergeCell ref="C23:D23"/>
    <mergeCell ref="C24:D24"/>
    <mergeCell ref="C25:D25"/>
    <mergeCell ref="C26:D26"/>
    <mergeCell ref="B49:E49"/>
    <mergeCell ref="B61:E61"/>
    <mergeCell ref="B65:I65"/>
    <mergeCell ref="C68:D68"/>
    <mergeCell ref="C69:D69"/>
    <mergeCell ref="G75:I75"/>
    <mergeCell ref="B10:I10"/>
    <mergeCell ref="C27:D27"/>
    <mergeCell ref="C15:D15"/>
    <mergeCell ref="C16:D16"/>
    <mergeCell ref="B75:E75"/>
    <mergeCell ref="C40:D40"/>
    <mergeCell ref="C41:D41"/>
    <mergeCell ref="C42:D42"/>
    <mergeCell ref="C43:D43"/>
    <mergeCell ref="C44:D44"/>
    <mergeCell ref="B52:I52"/>
    <mergeCell ref="H66:I66"/>
    <mergeCell ref="C70:D70"/>
    <mergeCell ref="H67:I70"/>
    <mergeCell ref="G72:I72"/>
    <mergeCell ref="B72:D72"/>
    <mergeCell ref="B2:I2"/>
    <mergeCell ref="B3:H3"/>
    <mergeCell ref="I55:I59"/>
    <mergeCell ref="H12:I12"/>
    <mergeCell ref="H13:I28"/>
    <mergeCell ref="H46:I46"/>
    <mergeCell ref="H47:I47"/>
    <mergeCell ref="G30:I30"/>
    <mergeCell ref="B33:I33"/>
    <mergeCell ref="B34:I34"/>
    <mergeCell ref="H35:I35"/>
    <mergeCell ref="H36:I36"/>
    <mergeCell ref="H38:I38"/>
    <mergeCell ref="B11:H11"/>
    <mergeCell ref="B1:I1"/>
    <mergeCell ref="B53:I53"/>
    <mergeCell ref="C12:D12"/>
    <mergeCell ref="C13:D13"/>
    <mergeCell ref="C14:D14"/>
    <mergeCell ref="B28:E28"/>
    <mergeCell ref="G61:I61"/>
    <mergeCell ref="B64:I64"/>
    <mergeCell ref="G49:I49"/>
    <mergeCell ref="B30:E30"/>
    <mergeCell ref="C47:E47"/>
    <mergeCell ref="C46:E46"/>
    <mergeCell ref="B36:E36"/>
    <mergeCell ref="C39:D39"/>
    <mergeCell ref="C38:D38"/>
    <mergeCell ref="B35:E35"/>
    <mergeCell ref="H39:I43"/>
    <mergeCell ref="B39:B44"/>
  </mergeCells>
  <conditionalFormatting sqref="E44:E48">
    <cfRule type="cellIs" dxfId="11" priority="2" operator="greaterThan">
      <formula>100</formula>
    </cfRule>
  </conditionalFormatting>
  <conditionalFormatting sqref="E72">
    <cfRule type="cellIs" dxfId="10" priority="1" operator="greaterThan">
      <formula>100</formula>
    </cfRule>
  </conditionalFormatting>
  <dataValidations disablePrompts="1" count="1">
    <dataValidation type="list" allowBlank="1" showInputMessage="1" showErrorMessage="1" sqref="H6" xr:uid="{C5D4F941-0A90-4564-BD46-3FCF08A3C16F}">
      <formula1>"Dropdown Cells"</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ECF462F-3F74-4646-A803-C360C9EC1B09}">
          <x14:formula1>
            <xm:f>_xlfn.ANCHORARRAY('Tool - EFs &amp; Helpers'!$AE$6)</xm:f>
          </x14:formula1>
          <xm:sqref>E29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37E71-B7D9-4AA6-B10C-822526475A01}">
  <sheetPr codeName="Sheet8">
    <tabColor rgb="FF7030A0"/>
  </sheetPr>
  <dimension ref="A1:I65"/>
  <sheetViews>
    <sheetView showGridLines="0" zoomScale="55" zoomScaleNormal="55" workbookViewId="0">
      <selection activeCell="E67" sqref="E67"/>
    </sheetView>
  </sheetViews>
  <sheetFormatPr defaultRowHeight="18" x14ac:dyDescent="0.35"/>
  <cols>
    <col min="1" max="1" width="9.1796875" style="109" customWidth="1"/>
    <col min="2" max="2" width="59.08984375" style="32" customWidth="1"/>
    <col min="3" max="5" width="41" style="14" customWidth="1"/>
    <col min="6" max="6" width="41.54296875" style="14" customWidth="1"/>
    <col min="7" max="8" width="41.54296875" style="16" customWidth="1"/>
    <col min="9" max="9" width="41.54296875" style="14" customWidth="1"/>
    <col min="10" max="16384" width="8.7265625" style="14"/>
  </cols>
  <sheetData>
    <row r="1" spans="1:9" ht="73" customHeight="1" x14ac:dyDescent="0.35">
      <c r="B1" s="331" t="s">
        <v>561</v>
      </c>
      <c r="C1" s="331"/>
      <c r="D1" s="331"/>
      <c r="E1" s="331"/>
      <c r="F1" s="331"/>
      <c r="G1" s="331"/>
      <c r="H1" s="331"/>
      <c r="I1" s="331"/>
    </row>
    <row r="2" spans="1:9" ht="36.5" customHeight="1" x14ac:dyDescent="0.35">
      <c r="B2" s="352" t="str">
        <f>IF('Project Description'!$C$19="Annual Reporting", "Annual Emissions Inventory", "Project-level Inventory")</f>
        <v>Project-level Inventory</v>
      </c>
      <c r="C2" s="352"/>
      <c r="D2" s="352"/>
      <c r="E2" s="352"/>
      <c r="F2" s="352"/>
      <c r="G2" s="352"/>
      <c r="H2" s="352"/>
      <c r="I2" s="352"/>
    </row>
    <row r="3" spans="1:9" ht="20.5" x14ac:dyDescent="0.35">
      <c r="A3" s="181"/>
      <c r="B3" s="384" t="str">
        <f>'About this tool'!C48</f>
        <v>This sheet documents the activity data for the project intervention/alternative scenario. It mirrors the structure of the baseline inventory to ensure consistency and enable a like-for-like comparison.</v>
      </c>
      <c r="C3" s="384"/>
      <c r="D3" s="384"/>
      <c r="E3" s="384"/>
      <c r="F3" s="384"/>
      <c r="G3" s="384"/>
      <c r="H3" s="384"/>
    </row>
    <row r="5" spans="1:9" ht="25" customHeight="1" x14ac:dyDescent="0.35">
      <c r="A5" s="14"/>
      <c r="B5" s="122" t="str">
        <f>'Project Description'!B19</f>
        <v>Scope</v>
      </c>
      <c r="C5" s="216" t="str">
        <f>'Project Description'!C19</f>
        <v>Select Scope</v>
      </c>
      <c r="D5" s="16"/>
      <c r="G5" s="113" t="s">
        <v>579</v>
      </c>
      <c r="H5" s="114" t="s">
        <v>582</v>
      </c>
    </row>
    <row r="6" spans="1:9" ht="25" customHeight="1" x14ac:dyDescent="0.35">
      <c r="A6" s="14"/>
      <c r="B6" s="122" t="str">
        <f>'Project Description'!B20</f>
        <v>System Boundary</v>
      </c>
      <c r="C6" s="216" t="str">
        <f>'Project Description'!C20</f>
        <v>Select Boundary</v>
      </c>
      <c r="D6" s="16"/>
      <c r="G6" s="45" t="s">
        <v>583</v>
      </c>
      <c r="H6" s="107" t="s">
        <v>580</v>
      </c>
    </row>
    <row r="7" spans="1:9" ht="25" customHeight="1" x14ac:dyDescent="0.35">
      <c r="A7" s="14"/>
      <c r="B7" s="122" t="str">
        <f>'Project Description'!E12</f>
        <v xml:space="preserve">Reporting/Target Year </v>
      </c>
      <c r="C7" s="98" t="str">
        <f>'Project Description'!F12</f>
        <v>Please Select Year</v>
      </c>
      <c r="D7" s="16"/>
    </row>
    <row r="8" spans="1:9" ht="25" customHeight="1" x14ac:dyDescent="0.35">
      <c r="A8" s="14"/>
      <c r="B8" s="122" t="s">
        <v>394</v>
      </c>
      <c r="C8" s="100">
        <f>'Project Description'!F21</f>
        <v>0</v>
      </c>
      <c r="D8" s="98">
        <f>'Project Description'!G21</f>
        <v>0</v>
      </c>
    </row>
    <row r="9" spans="1:9" x14ac:dyDescent="0.35">
      <c r="A9" s="14"/>
    </row>
    <row r="10" spans="1:9" ht="34.5" customHeight="1" x14ac:dyDescent="0.35">
      <c r="A10" s="14"/>
      <c r="B10" s="324" t="str">
        <f>'Baseline Emissions'!B10</f>
        <v>1. Raw Material (RM) Extraction &amp; Use Phase</v>
      </c>
      <c r="C10" s="324"/>
      <c r="D10" s="324"/>
      <c r="E10" s="324"/>
      <c r="F10" s="324"/>
      <c r="G10" s="324"/>
      <c r="H10" s="324"/>
      <c r="I10" s="324"/>
    </row>
    <row r="11" spans="1:9" ht="34.5" customHeight="1" x14ac:dyDescent="0.35">
      <c r="A11" s="14"/>
      <c r="B11" s="329" t="str">
        <f>'Baseline Emissions'!B11</f>
        <v xml:space="preserve">Covers the sourcing, quantity, and type of raw materials used in the product or project, including upstream impacts associated with material extraction and processing. Fill the data in relation to the Functional Unit (FU) selected. </v>
      </c>
      <c r="C11" s="329"/>
      <c r="D11" s="329"/>
      <c r="E11" s="329"/>
      <c r="F11" s="329"/>
      <c r="G11" s="329"/>
      <c r="H11" s="329"/>
      <c r="I11" s="329"/>
    </row>
    <row r="12" spans="1:9" s="16" customFormat="1" ht="25" customHeight="1" x14ac:dyDescent="0.35">
      <c r="A12" s="14"/>
      <c r="B12" s="27" t="s">
        <v>48</v>
      </c>
      <c r="C12" s="340" t="s">
        <v>51</v>
      </c>
      <c r="D12" s="340"/>
      <c r="E12" s="24" t="s">
        <v>52</v>
      </c>
      <c r="F12" s="25" t="s">
        <v>53</v>
      </c>
      <c r="G12" s="184" t="s">
        <v>54</v>
      </c>
      <c r="H12" s="385" t="s">
        <v>379</v>
      </c>
      <c r="I12" s="385"/>
    </row>
    <row r="13" spans="1:9" ht="25" customHeight="1" x14ac:dyDescent="0.35">
      <c r="A13" s="14"/>
      <c r="B13" s="389" t="str">
        <f>'Baseline Emissions'!B13</f>
        <v>Raw Material Extraction &amp; Use in the Product Innovation - 0 0</v>
      </c>
      <c r="C13" s="433" t="s">
        <v>375</v>
      </c>
      <c r="D13" s="434"/>
      <c r="E13" s="240" t="s">
        <v>376</v>
      </c>
      <c r="F13" s="243">
        <v>0</v>
      </c>
      <c r="G13" s="117" t="str">
        <f xml:space="preserve"> "kg/"&amp;$C$8 &amp; " " &amp; $D$8</f>
        <v>kg/0 0</v>
      </c>
      <c r="H13" s="432"/>
      <c r="I13" s="432"/>
    </row>
    <row r="14" spans="1:9" ht="25" customHeight="1" x14ac:dyDescent="0.35">
      <c r="A14" s="14"/>
      <c r="B14" s="389"/>
      <c r="C14" s="431" t="s">
        <v>375</v>
      </c>
      <c r="D14" s="435"/>
      <c r="E14" s="237" t="s">
        <v>376</v>
      </c>
      <c r="F14" s="243">
        <v>0</v>
      </c>
      <c r="G14" s="117" t="str">
        <f t="shared" ref="G14:G28" si="0" xml:space="preserve"> "kg/"&amp;$C$8 &amp; " " &amp; $D$8</f>
        <v>kg/0 0</v>
      </c>
      <c r="H14" s="432"/>
      <c r="I14" s="432"/>
    </row>
    <row r="15" spans="1:9" ht="25" customHeight="1" x14ac:dyDescent="0.35">
      <c r="A15" s="14"/>
      <c r="B15" s="389"/>
      <c r="C15" s="436" t="s">
        <v>375</v>
      </c>
      <c r="D15" s="437"/>
      <c r="E15" s="235" t="s">
        <v>376</v>
      </c>
      <c r="F15" s="243">
        <v>0</v>
      </c>
      <c r="G15" s="117" t="str">
        <f t="shared" si="0"/>
        <v>kg/0 0</v>
      </c>
      <c r="H15" s="432"/>
      <c r="I15" s="432"/>
    </row>
    <row r="16" spans="1:9" ht="25" customHeight="1" x14ac:dyDescent="0.35">
      <c r="A16" s="14"/>
      <c r="B16" s="389"/>
      <c r="C16" s="436" t="s">
        <v>375</v>
      </c>
      <c r="D16" s="437"/>
      <c r="E16" s="259" t="s">
        <v>376</v>
      </c>
      <c r="F16" s="243">
        <v>0</v>
      </c>
      <c r="G16" s="117" t="str">
        <f t="shared" si="0"/>
        <v>kg/0 0</v>
      </c>
      <c r="H16" s="432"/>
      <c r="I16" s="432"/>
    </row>
    <row r="17" spans="1:9" ht="25" customHeight="1" x14ac:dyDescent="0.35">
      <c r="A17" s="14"/>
      <c r="B17" s="389"/>
      <c r="C17" s="430" t="s">
        <v>375</v>
      </c>
      <c r="D17" s="438"/>
      <c r="E17" s="237" t="s">
        <v>376</v>
      </c>
      <c r="F17" s="243">
        <v>0</v>
      </c>
      <c r="G17" s="117" t="str">
        <f t="shared" si="0"/>
        <v>kg/0 0</v>
      </c>
      <c r="H17" s="432"/>
      <c r="I17" s="432"/>
    </row>
    <row r="18" spans="1:9" ht="25" customHeight="1" x14ac:dyDescent="0.35">
      <c r="A18" s="14"/>
      <c r="B18" s="389"/>
      <c r="C18" s="436" t="s">
        <v>375</v>
      </c>
      <c r="D18" s="437"/>
      <c r="E18" s="259" t="s">
        <v>376</v>
      </c>
      <c r="F18" s="243">
        <v>0</v>
      </c>
      <c r="G18" s="117" t="str">
        <f t="shared" si="0"/>
        <v>kg/0 0</v>
      </c>
      <c r="H18" s="432"/>
      <c r="I18" s="432"/>
    </row>
    <row r="19" spans="1:9" ht="25" customHeight="1" x14ac:dyDescent="0.35">
      <c r="A19" s="14"/>
      <c r="B19" s="389"/>
      <c r="C19" s="431" t="s">
        <v>375</v>
      </c>
      <c r="D19" s="435"/>
      <c r="E19" s="237" t="s">
        <v>376</v>
      </c>
      <c r="F19" s="243">
        <v>0</v>
      </c>
      <c r="G19" s="117" t="str">
        <f t="shared" si="0"/>
        <v>kg/0 0</v>
      </c>
      <c r="H19" s="432"/>
      <c r="I19" s="432"/>
    </row>
    <row r="20" spans="1:9" ht="25" customHeight="1" x14ac:dyDescent="0.35">
      <c r="A20" s="14"/>
      <c r="B20" s="389"/>
      <c r="C20" s="431" t="s">
        <v>375</v>
      </c>
      <c r="D20" s="435"/>
      <c r="E20" s="259" t="s">
        <v>376</v>
      </c>
      <c r="F20" s="243">
        <v>0</v>
      </c>
      <c r="G20" s="117" t="str">
        <f t="shared" si="0"/>
        <v>kg/0 0</v>
      </c>
      <c r="H20" s="432"/>
      <c r="I20" s="432"/>
    </row>
    <row r="21" spans="1:9" ht="25" customHeight="1" x14ac:dyDescent="0.35">
      <c r="A21" s="14"/>
      <c r="B21" s="389"/>
      <c r="C21" s="436" t="s">
        <v>375</v>
      </c>
      <c r="D21" s="437"/>
      <c r="E21" s="237" t="s">
        <v>376</v>
      </c>
      <c r="F21" s="243">
        <v>0</v>
      </c>
      <c r="G21" s="117" t="str">
        <f t="shared" si="0"/>
        <v>kg/0 0</v>
      </c>
      <c r="H21" s="432"/>
      <c r="I21" s="432"/>
    </row>
    <row r="22" spans="1:9" ht="25" customHeight="1" x14ac:dyDescent="0.35">
      <c r="A22" s="14"/>
      <c r="B22" s="389"/>
      <c r="C22" s="430" t="s">
        <v>375</v>
      </c>
      <c r="D22" s="438"/>
      <c r="E22" s="235" t="s">
        <v>376</v>
      </c>
      <c r="F22" s="243">
        <v>0</v>
      </c>
      <c r="G22" s="117" t="str">
        <f t="shared" si="0"/>
        <v>kg/0 0</v>
      </c>
      <c r="H22" s="432"/>
      <c r="I22" s="432"/>
    </row>
    <row r="23" spans="1:9" ht="25" customHeight="1" x14ac:dyDescent="0.35">
      <c r="A23" s="14"/>
      <c r="B23" s="389"/>
      <c r="C23" s="436" t="s">
        <v>375</v>
      </c>
      <c r="D23" s="437"/>
      <c r="E23" s="237" t="s">
        <v>376</v>
      </c>
      <c r="F23" s="243">
        <v>0</v>
      </c>
      <c r="G23" s="117" t="str">
        <f t="shared" si="0"/>
        <v>kg/0 0</v>
      </c>
      <c r="H23" s="432"/>
      <c r="I23" s="432"/>
    </row>
    <row r="24" spans="1:9" ht="25" customHeight="1" x14ac:dyDescent="0.35">
      <c r="A24" s="14"/>
      <c r="B24" s="389"/>
      <c r="C24" s="436" t="s">
        <v>375</v>
      </c>
      <c r="D24" s="437"/>
      <c r="E24" s="240" t="s">
        <v>376</v>
      </c>
      <c r="F24" s="243">
        <v>0</v>
      </c>
      <c r="G24" s="117" t="str">
        <f t="shared" si="0"/>
        <v>kg/0 0</v>
      </c>
      <c r="H24" s="432"/>
      <c r="I24" s="432"/>
    </row>
    <row r="25" spans="1:9" ht="25" customHeight="1" x14ac:dyDescent="0.35">
      <c r="A25" s="14"/>
      <c r="B25" s="389"/>
      <c r="C25" s="433" t="s">
        <v>375</v>
      </c>
      <c r="D25" s="434"/>
      <c r="E25" s="259" t="s">
        <v>376</v>
      </c>
      <c r="F25" s="243">
        <v>0</v>
      </c>
      <c r="G25" s="117" t="str">
        <f t="shared" si="0"/>
        <v>kg/0 0</v>
      </c>
      <c r="H25" s="432"/>
      <c r="I25" s="432"/>
    </row>
    <row r="26" spans="1:9" ht="25" customHeight="1" x14ac:dyDescent="0.35">
      <c r="A26" s="14"/>
      <c r="B26" s="389"/>
      <c r="C26" s="433" t="s">
        <v>375</v>
      </c>
      <c r="D26" s="434"/>
      <c r="E26" s="259" t="s">
        <v>376</v>
      </c>
      <c r="F26" s="243">
        <v>0</v>
      </c>
      <c r="G26" s="117" t="str">
        <f t="shared" si="0"/>
        <v>kg/0 0</v>
      </c>
      <c r="H26" s="432"/>
      <c r="I26" s="432"/>
    </row>
    <row r="27" spans="1:9" ht="25" customHeight="1" x14ac:dyDescent="0.35">
      <c r="A27" s="14"/>
      <c r="B27" s="389"/>
      <c r="C27" s="431" t="s">
        <v>375</v>
      </c>
      <c r="D27" s="435"/>
      <c r="E27" s="259" t="s">
        <v>376</v>
      </c>
      <c r="F27" s="244">
        <v>0</v>
      </c>
      <c r="G27" s="117" t="str">
        <f t="shared" si="0"/>
        <v>kg/0 0</v>
      </c>
      <c r="H27" s="432"/>
      <c r="I27" s="432"/>
    </row>
    <row r="28" spans="1:9" ht="25" customHeight="1" x14ac:dyDescent="0.35">
      <c r="A28" s="14"/>
      <c r="B28" s="389" t="str">
        <f>'Baseline Emissions'!B28</f>
        <v>Raw Material Extraction &amp; Use in the Product Innovation - Total - 0 0</v>
      </c>
      <c r="C28" s="389"/>
      <c r="D28" s="389"/>
      <c r="E28" s="405"/>
      <c r="F28" s="44">
        <f>SUM(F13:F27)</f>
        <v>0</v>
      </c>
      <c r="G28" s="117" t="str">
        <f t="shared" si="0"/>
        <v>kg/0 0</v>
      </c>
      <c r="H28" s="432"/>
      <c r="I28" s="432"/>
    </row>
    <row r="29" spans="1:9" ht="20" customHeight="1" x14ac:dyDescent="0.35">
      <c r="A29" s="14"/>
      <c r="B29" s="19"/>
      <c r="C29" s="38"/>
    </row>
    <row r="30" spans="1:9" ht="20" customHeight="1" x14ac:dyDescent="0.35">
      <c r="A30" s="14"/>
    </row>
    <row r="31" spans="1:9" ht="34.5" customHeight="1" x14ac:dyDescent="0.35">
      <c r="A31" s="14"/>
      <c r="B31" s="324" t="str">
        <f>'Baseline Emissions'!B33</f>
        <v xml:space="preserve">2. Manufacturing Phase - Energy Use </v>
      </c>
      <c r="C31" s="324"/>
      <c r="D31" s="324"/>
      <c r="E31" s="324"/>
      <c r="F31" s="324"/>
      <c r="G31" s="324"/>
      <c r="H31" s="324"/>
      <c r="I31" s="324"/>
    </row>
    <row r="32" spans="1:9" ht="34.5" customHeight="1" x14ac:dyDescent="0.35">
      <c r="A32" s="14"/>
      <c r="B32" s="329" t="str">
        <f>'Baseline Emissions'!B34</f>
        <v xml:space="preserve">Accounts for energy consumed during manufacturing or processing activities, including electricity and fuel use, to estimate associated greenhouse gas emissions. Fill the data in relation to the Functional Unit (FU) selected. </v>
      </c>
      <c r="C32" s="329"/>
      <c r="D32" s="329"/>
      <c r="E32" s="329"/>
      <c r="F32" s="329"/>
      <c r="G32" s="329"/>
      <c r="H32" s="329"/>
      <c r="I32" s="329"/>
    </row>
    <row r="33" spans="1:9" s="16" customFormat="1" ht="25" customHeight="1" x14ac:dyDescent="0.35">
      <c r="A33" s="14"/>
      <c r="B33" s="340" t="s">
        <v>425</v>
      </c>
      <c r="C33" s="340"/>
      <c r="D33" s="340"/>
      <c r="E33" s="340"/>
      <c r="F33" s="25" t="s">
        <v>41</v>
      </c>
      <c r="G33" s="184" t="s">
        <v>23</v>
      </c>
      <c r="H33" s="385" t="s">
        <v>379</v>
      </c>
      <c r="I33" s="385"/>
    </row>
    <row r="34" spans="1:9" ht="52.5" customHeight="1" x14ac:dyDescent="0.35">
      <c r="A34" s="14"/>
      <c r="B34" s="389" t="str">
        <f>'Baseline Emissions'!B36</f>
        <v>Energy needed to manufacture - 0 0</v>
      </c>
      <c r="C34" s="389"/>
      <c r="D34" s="389"/>
      <c r="E34" s="405"/>
      <c r="F34" s="243">
        <v>0</v>
      </c>
      <c r="G34" s="117" t="str">
        <f>"kWh/"&amp;$C$8 &amp; " " &amp; $D$8</f>
        <v>kWh/0 0</v>
      </c>
      <c r="H34" s="432"/>
      <c r="I34" s="432"/>
    </row>
    <row r="35" spans="1:9" ht="40" customHeight="1" x14ac:dyDescent="0.35">
      <c r="A35" s="14"/>
    </row>
    <row r="36" spans="1:9" ht="25" customHeight="1" x14ac:dyDescent="0.35">
      <c r="A36" s="14"/>
      <c r="B36" s="27" t="s">
        <v>21</v>
      </c>
      <c r="C36" s="340" t="s">
        <v>22</v>
      </c>
      <c r="D36" s="340"/>
      <c r="E36" s="68" t="s">
        <v>56</v>
      </c>
      <c r="F36" s="25" t="s">
        <v>41</v>
      </c>
      <c r="G36" s="184" t="s">
        <v>23</v>
      </c>
      <c r="H36" s="385" t="s">
        <v>379</v>
      </c>
      <c r="I36" s="385"/>
    </row>
    <row r="37" spans="1:9" ht="25" customHeight="1" x14ac:dyDescent="0.35">
      <c r="A37" s="14"/>
      <c r="B37" s="389" t="str">
        <f>'Baseline Emissions'!B39</f>
        <v>Energy Sources used in your operations
(Select multiple if you are using more than one source from the dropdown)*</v>
      </c>
      <c r="C37" s="430" t="s">
        <v>480</v>
      </c>
      <c r="D37" s="430"/>
      <c r="E37" s="246">
        <v>0</v>
      </c>
      <c r="F37" s="65">
        <f>$F$34*E37</f>
        <v>0</v>
      </c>
      <c r="G37" s="117" t="str">
        <f>"kWh/"&amp;$C$8 &amp; " " &amp; $D$8</f>
        <v>kWh/0 0</v>
      </c>
      <c r="H37" s="432"/>
      <c r="I37" s="432"/>
    </row>
    <row r="38" spans="1:9" ht="25" customHeight="1" x14ac:dyDescent="0.35">
      <c r="A38" s="14"/>
      <c r="B38" s="389"/>
      <c r="C38" s="431" t="s">
        <v>480</v>
      </c>
      <c r="D38" s="431"/>
      <c r="E38" s="246">
        <v>0</v>
      </c>
      <c r="F38" s="66">
        <f t="shared" ref="F38:F41" si="1">$F$34*E38</f>
        <v>0</v>
      </c>
      <c r="G38" s="117" t="str">
        <f t="shared" ref="G38:G42" si="2">"kWh/"&amp;$C$8 &amp; " " &amp; $D$8</f>
        <v>kWh/0 0</v>
      </c>
      <c r="H38" s="432"/>
      <c r="I38" s="432"/>
    </row>
    <row r="39" spans="1:9" ht="25" customHeight="1" x14ac:dyDescent="0.35">
      <c r="A39" s="14"/>
      <c r="B39" s="389"/>
      <c r="C39" s="436" t="s">
        <v>480</v>
      </c>
      <c r="D39" s="436"/>
      <c r="E39" s="246">
        <v>0</v>
      </c>
      <c r="F39" s="67">
        <f t="shared" si="1"/>
        <v>0</v>
      </c>
      <c r="G39" s="117" t="str">
        <f t="shared" si="2"/>
        <v>kWh/0 0</v>
      </c>
      <c r="H39" s="432"/>
      <c r="I39" s="432"/>
    </row>
    <row r="40" spans="1:9" ht="25" customHeight="1" x14ac:dyDescent="0.35">
      <c r="A40" s="14"/>
      <c r="B40" s="389"/>
      <c r="C40" s="436" t="s">
        <v>480</v>
      </c>
      <c r="D40" s="436"/>
      <c r="E40" s="246">
        <v>0</v>
      </c>
      <c r="F40" s="66">
        <f t="shared" si="1"/>
        <v>0</v>
      </c>
      <c r="G40" s="117" t="str">
        <f t="shared" si="2"/>
        <v>kWh/0 0</v>
      </c>
      <c r="H40" s="432"/>
      <c r="I40" s="432"/>
    </row>
    <row r="41" spans="1:9" s="17" customFormat="1" ht="25" customHeight="1" x14ac:dyDescent="0.35">
      <c r="A41" s="109"/>
      <c r="B41" s="389"/>
      <c r="C41" s="430" t="s">
        <v>480</v>
      </c>
      <c r="D41" s="430"/>
      <c r="E41" s="247">
        <v>0</v>
      </c>
      <c r="F41" s="67">
        <f t="shared" si="1"/>
        <v>0</v>
      </c>
      <c r="G41" s="117" t="str">
        <f t="shared" si="2"/>
        <v>kWh/0 0</v>
      </c>
      <c r="H41" s="432"/>
      <c r="I41" s="432"/>
    </row>
    <row r="42" spans="1:9" ht="25" customHeight="1" x14ac:dyDescent="0.35">
      <c r="B42" s="389"/>
      <c r="C42" s="406" t="s">
        <v>24</v>
      </c>
      <c r="D42" s="407"/>
      <c r="E42" s="64">
        <f>SUM(E37:E41)</f>
        <v>0</v>
      </c>
      <c r="F42" s="44">
        <f>SUM(F37:F41)</f>
        <v>0</v>
      </c>
      <c r="G42" s="117" t="str">
        <f t="shared" si="2"/>
        <v>kWh/0 0</v>
      </c>
      <c r="H42" s="432"/>
      <c r="I42" s="432"/>
    </row>
    <row r="43" spans="1:9" ht="25" customHeight="1" x14ac:dyDescent="0.35"/>
    <row r="44" spans="1:9" s="16" customFormat="1" ht="25" customHeight="1" x14ac:dyDescent="0.35">
      <c r="A44" s="14"/>
      <c r="B44" s="121" t="s">
        <v>426</v>
      </c>
      <c r="C44" s="340" t="s">
        <v>55</v>
      </c>
      <c r="D44" s="340"/>
      <c r="E44" s="340"/>
      <c r="F44" s="25" t="s">
        <v>53</v>
      </c>
      <c r="G44" s="184" t="s">
        <v>54</v>
      </c>
      <c r="H44" s="385" t="s">
        <v>379</v>
      </c>
      <c r="I44" s="385"/>
    </row>
    <row r="45" spans="1:9" ht="25" customHeight="1" x14ac:dyDescent="0.35">
      <c r="A45" s="14"/>
      <c r="B45" s="31" t="str">
        <f>'Baseline Emissions'!B47</f>
        <v>Water used to manufacture - 0 0</v>
      </c>
      <c r="C45" s="433" t="s">
        <v>491</v>
      </c>
      <c r="D45" s="433"/>
      <c r="E45" s="433"/>
      <c r="F45" s="243">
        <v>0</v>
      </c>
      <c r="G45" s="117" t="str">
        <f xml:space="preserve"> "m3/"&amp;$C$8 &amp; " " &amp; $D$8</f>
        <v>m3/0 0</v>
      </c>
      <c r="H45" s="432"/>
      <c r="I45" s="432"/>
    </row>
    <row r="46" spans="1:9" ht="20" customHeight="1" x14ac:dyDescent="0.35">
      <c r="A46" s="14"/>
      <c r="C46" s="16"/>
      <c r="D46" s="16"/>
      <c r="E46" s="16"/>
      <c r="F46" s="188"/>
      <c r="G46" s="18"/>
      <c r="H46" s="18"/>
      <c r="I46" s="18"/>
    </row>
    <row r="47" spans="1:9" ht="20" customHeight="1" x14ac:dyDescent="0.35">
      <c r="A47" s="14"/>
      <c r="C47" s="16"/>
      <c r="D47" s="16"/>
      <c r="E47" s="16"/>
      <c r="F47" s="188"/>
      <c r="G47" s="18"/>
      <c r="H47" s="18"/>
      <c r="I47" s="18"/>
    </row>
    <row r="48" spans="1:9" ht="34.5" customHeight="1" x14ac:dyDescent="0.35">
      <c r="B48" s="324" t="str">
        <f>'Baseline Emissions'!B52</f>
        <v>3. Transportation Phase</v>
      </c>
      <c r="C48" s="324"/>
      <c r="D48" s="324"/>
      <c r="E48" s="324"/>
      <c r="F48" s="324"/>
      <c r="G48" s="324"/>
      <c r="H48" s="324"/>
      <c r="I48" s="324"/>
    </row>
    <row r="49" spans="1:9" ht="34.5" customHeight="1" x14ac:dyDescent="0.35">
      <c r="B49" s="322" t="str">
        <f>'Baseline Emissions'!B53</f>
        <v xml:space="preserve">Includes data on the transportation of raw materials, intermediate goods, and finished products, capturing distances, modes of transport, and fuel types. Fill the data in relation to the Functional Unit (FU) selected. </v>
      </c>
      <c r="C49" s="322"/>
      <c r="D49" s="322"/>
      <c r="E49" s="322"/>
      <c r="F49" s="322"/>
      <c r="G49" s="322"/>
      <c r="H49" s="322"/>
      <c r="I49" s="322"/>
    </row>
    <row r="50" spans="1:9" s="16" customFormat="1" ht="25" customHeight="1" x14ac:dyDescent="0.35">
      <c r="A50" s="109"/>
      <c r="B50" s="27" t="s">
        <v>21</v>
      </c>
      <c r="C50" s="24" t="s">
        <v>383</v>
      </c>
      <c r="D50" s="24" t="s">
        <v>42</v>
      </c>
      <c r="E50" s="24" t="s">
        <v>381</v>
      </c>
      <c r="F50" s="25" t="s">
        <v>43</v>
      </c>
      <c r="G50" s="25" t="s">
        <v>44</v>
      </c>
      <c r="H50" s="24" t="s">
        <v>45</v>
      </c>
      <c r="I50" s="25" t="s">
        <v>379</v>
      </c>
    </row>
    <row r="51" spans="1:9" ht="25" customHeight="1" x14ac:dyDescent="0.35">
      <c r="B51" s="31" t="str">
        <f>'Baseline Emissions'!B55</f>
        <v>RM Sourcing - 0 0</v>
      </c>
      <c r="C51" s="254" t="s">
        <v>389</v>
      </c>
      <c r="D51" s="235" t="s">
        <v>390</v>
      </c>
      <c r="E51" s="256" t="s">
        <v>391</v>
      </c>
      <c r="F51" s="243">
        <v>0</v>
      </c>
      <c r="G51" s="45" t="str">
        <f xml:space="preserve"> "km/"&amp;$C$8 &amp; " " &amp; $D$8</f>
        <v>km/0 0</v>
      </c>
      <c r="H51" s="255" t="s">
        <v>489</v>
      </c>
      <c r="I51" s="439"/>
    </row>
    <row r="52" spans="1:9" ht="25" customHeight="1" x14ac:dyDescent="0.35">
      <c r="B52" s="31" t="str">
        <f>'Baseline Emissions'!B56</f>
        <v>Product Distribution to Suppliers - 0 0</v>
      </c>
      <c r="C52" s="255" t="s">
        <v>389</v>
      </c>
      <c r="D52" s="255" t="s">
        <v>390</v>
      </c>
      <c r="E52" s="257" t="s">
        <v>391</v>
      </c>
      <c r="F52" s="243">
        <v>0</v>
      </c>
      <c r="G52" s="45" t="str">
        <f t="shared" ref="G52:G55" si="3" xml:space="preserve"> "km/"&amp;$C$8 &amp; " " &amp; $D$8</f>
        <v>km/0 0</v>
      </c>
      <c r="H52" s="255" t="s">
        <v>489</v>
      </c>
      <c r="I52" s="379"/>
    </row>
    <row r="53" spans="1:9" ht="25" customHeight="1" x14ac:dyDescent="0.35">
      <c r="B53" s="263" t="s">
        <v>675</v>
      </c>
      <c r="C53" s="230" t="s">
        <v>389</v>
      </c>
      <c r="D53" s="255" t="s">
        <v>390</v>
      </c>
      <c r="E53" s="258" t="s">
        <v>391</v>
      </c>
      <c r="F53" s="243">
        <v>0</v>
      </c>
      <c r="G53" s="45" t="str">
        <f t="shared" si="3"/>
        <v>km/0 0</v>
      </c>
      <c r="H53" s="230" t="s">
        <v>489</v>
      </c>
      <c r="I53" s="379"/>
    </row>
    <row r="54" spans="1:9" ht="25" customHeight="1" x14ac:dyDescent="0.35">
      <c r="B54" s="263" t="s">
        <v>675</v>
      </c>
      <c r="C54" s="221" t="s">
        <v>389</v>
      </c>
      <c r="D54" s="230" t="s">
        <v>390</v>
      </c>
      <c r="E54" s="258" t="s">
        <v>391</v>
      </c>
      <c r="F54" s="243">
        <v>0</v>
      </c>
      <c r="G54" s="45" t="str">
        <f t="shared" si="3"/>
        <v>km/0 0</v>
      </c>
      <c r="H54" s="230" t="s">
        <v>489</v>
      </c>
      <c r="I54" s="379"/>
    </row>
    <row r="55" spans="1:9" ht="25" customHeight="1" x14ac:dyDescent="0.35">
      <c r="B55" s="263" t="s">
        <v>675</v>
      </c>
      <c r="C55" s="241" t="s">
        <v>389</v>
      </c>
      <c r="D55" s="242" t="s">
        <v>390</v>
      </c>
      <c r="E55" s="258" t="s">
        <v>391</v>
      </c>
      <c r="F55" s="243">
        <v>0</v>
      </c>
      <c r="G55" s="45" t="str">
        <f t="shared" si="3"/>
        <v>km/0 0</v>
      </c>
      <c r="H55" s="221" t="s">
        <v>489</v>
      </c>
      <c r="I55" s="381"/>
    </row>
    <row r="56" spans="1:9" ht="20" customHeight="1" x14ac:dyDescent="0.35"/>
    <row r="57" spans="1:9" ht="20" customHeight="1" x14ac:dyDescent="0.35"/>
    <row r="58" spans="1:9" ht="34.5" customHeight="1" x14ac:dyDescent="0.35">
      <c r="B58" s="324" t="str">
        <f>'Baseline Emissions'!B64</f>
        <v>4. End-of-Life (EoL) Treatment Phase</v>
      </c>
      <c r="C58" s="324"/>
      <c r="D58" s="324"/>
      <c r="E58" s="324"/>
      <c r="F58" s="324"/>
      <c r="G58" s="324"/>
      <c r="H58" s="324"/>
      <c r="I58" s="324"/>
    </row>
    <row r="59" spans="1:9" ht="34.5" customHeight="1" x14ac:dyDescent="0.35">
      <c r="B59" s="329" t="str">
        <f>'Baseline Emissions'!B65</f>
        <v xml:space="preserve">Assesses emissions and impacts associated with the disposal, recycling, recovery, or treatment of the product at the end of its useful life. Fill the data in relation to the Functional Unit (FU) selected. </v>
      </c>
      <c r="C59" s="329"/>
      <c r="D59" s="329"/>
      <c r="E59" s="329"/>
      <c r="F59" s="329"/>
      <c r="G59" s="329"/>
      <c r="H59" s="329"/>
      <c r="I59" s="329"/>
    </row>
    <row r="60" spans="1:9" s="16" customFormat="1" ht="25" customHeight="1" x14ac:dyDescent="0.35">
      <c r="A60" s="109"/>
      <c r="B60" s="27" t="s">
        <v>21</v>
      </c>
      <c r="C60" s="362" t="s">
        <v>446</v>
      </c>
      <c r="D60" s="363"/>
      <c r="E60" s="68" t="s">
        <v>56</v>
      </c>
      <c r="F60" s="25" t="s">
        <v>53</v>
      </c>
      <c r="G60" s="184" t="s">
        <v>54</v>
      </c>
      <c r="H60" s="385" t="s">
        <v>379</v>
      </c>
      <c r="I60" s="385"/>
    </row>
    <row r="61" spans="1:9" ht="25" customHeight="1" x14ac:dyDescent="0.35">
      <c r="B61" s="31" t="str">
        <f>'Baseline Emissions'!B67</f>
        <v>End of life treatment</v>
      </c>
      <c r="C61" s="433" t="s">
        <v>511</v>
      </c>
      <c r="D61" s="433"/>
      <c r="E61" s="246">
        <v>0</v>
      </c>
      <c r="F61" s="70" t="str">
        <f>IF('Project Description'!$C$20="Cradle-to-Grave",$C$8*E61,"n/a")</f>
        <v>n/a</v>
      </c>
      <c r="G61" s="117" t="str">
        <f xml:space="preserve"> "kg/"&amp;$C$8 &amp; " " &amp; $D$8</f>
        <v>kg/0 0</v>
      </c>
      <c r="H61" s="432"/>
      <c r="I61" s="432"/>
    </row>
    <row r="62" spans="1:9" ht="25" customHeight="1" x14ac:dyDescent="0.35">
      <c r="B62" s="31" t="str">
        <f>'Baseline Emissions'!B68</f>
        <v>End of life treatment</v>
      </c>
      <c r="C62" s="433" t="s">
        <v>511</v>
      </c>
      <c r="D62" s="433"/>
      <c r="E62" s="246">
        <v>0</v>
      </c>
      <c r="F62" s="70" t="str">
        <f>IF('Project Description'!$C$20="Cradle-to-Grave",$C$8*E62,"n/a")</f>
        <v>n/a</v>
      </c>
      <c r="G62" s="117" t="str">
        <f t="shared" ref="G62:G65" si="4" xml:space="preserve"> "kg/"&amp;$C$8 &amp; " " &amp; $D$8</f>
        <v>kg/0 0</v>
      </c>
      <c r="H62" s="432"/>
      <c r="I62" s="432"/>
    </row>
    <row r="63" spans="1:9" ht="25" customHeight="1" x14ac:dyDescent="0.35">
      <c r="B63" s="31" t="str">
        <f>'Baseline Emissions'!B69</f>
        <v>End of life treatment</v>
      </c>
      <c r="C63" s="433" t="s">
        <v>511</v>
      </c>
      <c r="D63" s="433"/>
      <c r="E63" s="246">
        <v>0</v>
      </c>
      <c r="F63" s="70" t="str">
        <f>IF('Project Description'!$C$20="Cradle-to-Grave",$C$8*E63,"n/a")</f>
        <v>n/a</v>
      </c>
      <c r="G63" s="117" t="str">
        <f t="shared" si="4"/>
        <v>kg/0 0</v>
      </c>
      <c r="H63" s="432"/>
      <c r="I63" s="432"/>
    </row>
    <row r="64" spans="1:9" ht="25" customHeight="1" x14ac:dyDescent="0.35">
      <c r="B64" s="31" t="str">
        <f>'Baseline Emissions'!B70</f>
        <v>End of life treatment</v>
      </c>
      <c r="C64" s="433" t="s">
        <v>511</v>
      </c>
      <c r="D64" s="433"/>
      <c r="E64" s="247">
        <v>0</v>
      </c>
      <c r="F64" s="70" t="str">
        <f>IF('Project Description'!$C$20="Cradle-to-Grave",$C$8*E64,"n/a")</f>
        <v>n/a</v>
      </c>
      <c r="G64" s="117" t="str">
        <f t="shared" si="4"/>
        <v>kg/0 0</v>
      </c>
      <c r="H64" s="432"/>
      <c r="I64" s="432"/>
    </row>
    <row r="65" spans="2:9" ht="25" customHeight="1" x14ac:dyDescent="0.35">
      <c r="B65" s="253"/>
      <c r="C65" s="406" t="s">
        <v>24</v>
      </c>
      <c r="D65" s="407"/>
      <c r="E65" s="64">
        <f>SUM(E61:E64)</f>
        <v>0</v>
      </c>
      <c r="F65" s="44">
        <f>SUM(F61:F64)</f>
        <v>0</v>
      </c>
      <c r="G65" s="117" t="str">
        <f t="shared" si="4"/>
        <v>kg/0 0</v>
      </c>
      <c r="H65" s="432"/>
      <c r="I65" s="432"/>
    </row>
  </sheetData>
  <sheetProtection algorithmName="SHA-512" hashValue="e2lv1BRjvg6w4OETvYmavxNTLbuCYzRxe01dk2rFS067cg/Vf6WwswG83p7W9/nEFl8B4fq5NkFSnFCe7Ihhtg==" saltValue="tdGxqKyBdtg/07mHAidOTg==" spinCount="100000" sheet="1" objects="1" scenarios="1"/>
  <mergeCells count="58">
    <mergeCell ref="B48:I48"/>
    <mergeCell ref="I51:I55"/>
    <mergeCell ref="H60:I60"/>
    <mergeCell ref="H61:I65"/>
    <mergeCell ref="B58:I58"/>
    <mergeCell ref="B59:I59"/>
    <mergeCell ref="B49:I49"/>
    <mergeCell ref="C63:D63"/>
    <mergeCell ref="C64:D64"/>
    <mergeCell ref="C65:D65"/>
    <mergeCell ref="C60:D60"/>
    <mergeCell ref="C61:D61"/>
    <mergeCell ref="C62:D62"/>
    <mergeCell ref="C45:E45"/>
    <mergeCell ref="C44:E44"/>
    <mergeCell ref="B3:H3"/>
    <mergeCell ref="C12:D12"/>
    <mergeCell ref="C15:D15"/>
    <mergeCell ref="C16:D16"/>
    <mergeCell ref="C18:D18"/>
    <mergeCell ref="C19:D19"/>
    <mergeCell ref="H45:I45"/>
    <mergeCell ref="H12:I12"/>
    <mergeCell ref="H44:I44"/>
    <mergeCell ref="B10:I10"/>
    <mergeCell ref="C39:D39"/>
    <mergeCell ref="C40:D40"/>
    <mergeCell ref="B1:I1"/>
    <mergeCell ref="B11:I11"/>
    <mergeCell ref="B28:E28"/>
    <mergeCell ref="B13:B27"/>
    <mergeCell ref="C13:D13"/>
    <mergeCell ref="C14:D14"/>
    <mergeCell ref="C24:D24"/>
    <mergeCell ref="C25:D25"/>
    <mergeCell ref="C26:D26"/>
    <mergeCell ref="C27:D27"/>
    <mergeCell ref="C17:D17"/>
    <mergeCell ref="C20:D20"/>
    <mergeCell ref="C21:D21"/>
    <mergeCell ref="C22:D22"/>
    <mergeCell ref="C23:D23"/>
    <mergeCell ref="H13:I28"/>
    <mergeCell ref="B2:I2"/>
    <mergeCell ref="B33:E33"/>
    <mergeCell ref="B34:E34"/>
    <mergeCell ref="C37:D37"/>
    <mergeCell ref="C38:D38"/>
    <mergeCell ref="C36:D36"/>
    <mergeCell ref="B37:B42"/>
    <mergeCell ref="C41:D41"/>
    <mergeCell ref="C42:D42"/>
    <mergeCell ref="H33:I33"/>
    <mergeCell ref="H34:I34"/>
    <mergeCell ref="B31:I31"/>
    <mergeCell ref="H36:I36"/>
    <mergeCell ref="H37:I42"/>
    <mergeCell ref="B32:I32"/>
  </mergeCells>
  <conditionalFormatting sqref="E42">
    <cfRule type="cellIs" dxfId="9" priority="4" operator="greaterThan">
      <formula>100</formula>
    </cfRule>
    <cfRule type="cellIs" dxfId="8" priority="5" operator="greaterThan">
      <formula>1</formula>
    </cfRule>
  </conditionalFormatting>
  <conditionalFormatting sqref="E65">
    <cfRule type="cellIs" dxfId="7" priority="1" operator="greaterThan">
      <formula>1</formula>
    </cfRule>
    <cfRule type="cellIs" dxfId="6" priority="2" operator="greaterThan">
      <formula>100</formula>
    </cfRule>
    <cfRule type="cellIs" dxfId="5" priority="3" operator="greaterThan">
      <formula>1</formula>
    </cfRule>
  </conditionalFormatting>
  <dataValidations count="2">
    <dataValidation type="list" allowBlank="1" showInputMessage="1" showErrorMessage="1" sqref="H51:H55" xr:uid="{960B1B30-1493-4A5B-AEC4-22AAA3BD7326}">
      <formula1>"Select Ownership, Self-owned, Third Party"</formula1>
    </dataValidation>
    <dataValidation type="list" allowBlank="1" showInputMessage="1" showErrorMessage="1" sqref="H6" xr:uid="{75C1AC14-3A82-4D49-B689-DDA2CF141727}">
      <formula1>"Dropdown Cells"</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1">
        <x14:dataValidation type="list" allowBlank="1" showInputMessage="1" showErrorMessage="1" xr:uid="{C2EC0710-02B3-43E9-BE25-8F0FFA0E145F}">
          <x14:formula1>
            <xm:f>_xlfn.ANCHORARRAY('Tool - EFs &amp; Helpers'!$AD$6)</xm:f>
          </x14:formula1>
          <xm:sqref>C13:D27</xm:sqref>
        </x14:dataValidation>
        <x14:dataValidation type="list" allowBlank="1" showInputMessage="1" showErrorMessage="1" xr:uid="{0A8EFD36-FBC0-45E1-93FB-45867A36E85C}">
          <x14:formula1>
            <xm:f>_xlfn.ANCHORARRAY('Tool - EFs &amp; Helpers'!$AF$253)</xm:f>
          </x14:formula1>
          <xm:sqref>E27</xm:sqref>
        </x14:dataValidation>
        <x14:dataValidation type="list" allowBlank="1" showInputMessage="1" showErrorMessage="1" xr:uid="{06EA12DD-539C-4064-9934-88E0F2F7E129}">
          <x14:formula1>
            <xm:f>_xlfn.ANCHORARRAY('Tool - EFs &amp; Helpers'!$AF$235)</xm:f>
          </x14:formula1>
          <xm:sqref>E26</xm:sqref>
        </x14:dataValidation>
        <x14:dataValidation type="list" allowBlank="1" showInputMessage="1" showErrorMessage="1" xr:uid="{5C31E116-15BA-43BD-89EF-A2ABA63AED34}">
          <x14:formula1>
            <xm:f>_xlfn.ANCHORARRAY('Tool - EFs &amp; Helpers'!$AF$217)</xm:f>
          </x14:formula1>
          <xm:sqref>E25</xm:sqref>
        </x14:dataValidation>
        <x14:dataValidation type="list" allowBlank="1" showInputMessage="1" showErrorMessage="1" xr:uid="{C5115B14-5FF7-4B9F-B618-7BD5EE1080CD}">
          <x14:formula1>
            <xm:f>_xlfn.ANCHORARRAY('Tool - EFs &amp; Helpers'!$AF$199)</xm:f>
          </x14:formula1>
          <xm:sqref>E24</xm:sqref>
        </x14:dataValidation>
        <x14:dataValidation type="list" allowBlank="1" showInputMessage="1" showErrorMessage="1" xr:uid="{32111BBB-F748-479B-9606-338ABFE415F4}">
          <x14:formula1>
            <xm:f>_xlfn.ANCHORARRAY('Tool - EFs &amp; Helpers'!$AF$181)</xm:f>
          </x14:formula1>
          <xm:sqref>E23</xm:sqref>
        </x14:dataValidation>
        <x14:dataValidation type="list" allowBlank="1" showInputMessage="1" showErrorMessage="1" xr:uid="{9DA3D9F8-8382-46C6-B591-795141BC4940}">
          <x14:formula1>
            <xm:f>_xlfn.ANCHORARRAY('Tool - EFs &amp; Helpers'!$AF$163)</xm:f>
          </x14:formula1>
          <xm:sqref>E22</xm:sqref>
        </x14:dataValidation>
        <x14:dataValidation type="list" allowBlank="1" showInputMessage="1" showErrorMessage="1" xr:uid="{B7D55F1B-A1ED-4F9A-9595-B3F4857DA782}">
          <x14:formula1>
            <xm:f>_xlfn.ANCHORARRAY('Tool - EFs &amp; Helpers'!$AF$145)</xm:f>
          </x14:formula1>
          <xm:sqref>E21</xm:sqref>
        </x14:dataValidation>
        <x14:dataValidation type="list" allowBlank="1" showInputMessage="1" showErrorMessage="1" xr:uid="{13B8563A-F116-46EF-BC41-0EBD1F157F10}">
          <x14:formula1>
            <xm:f>_xlfn.ANCHORARRAY('Tool - EFs &amp; Helpers'!$AF$127)</xm:f>
          </x14:formula1>
          <xm:sqref>E20</xm:sqref>
        </x14:dataValidation>
        <x14:dataValidation type="list" allowBlank="1" showInputMessage="1" showErrorMessage="1" xr:uid="{C09271E6-3CB2-4426-8CD5-30EE46DDFB41}">
          <x14:formula1>
            <xm:f>_xlfn.ANCHORARRAY('Tool - EFs &amp; Helpers'!$AF$109)</xm:f>
          </x14:formula1>
          <xm:sqref>E19</xm:sqref>
        </x14:dataValidation>
        <x14:dataValidation type="list" allowBlank="1" showInputMessage="1" showErrorMessage="1" xr:uid="{1A349F05-F7B4-40D2-982B-F91C32E53789}">
          <x14:formula1>
            <xm:f>_xlfn.ANCHORARRAY('Tool - EFs &amp; Helpers'!$AF$75)</xm:f>
          </x14:formula1>
          <xm:sqref>E17</xm:sqref>
        </x14:dataValidation>
        <x14:dataValidation type="list" allowBlank="1" showInputMessage="1" showErrorMessage="1" xr:uid="{0BFE8FF1-11A9-487A-A907-0777C7C2972C}">
          <x14:formula1>
            <xm:f>_xlfn.ANCHORARRAY('Tool - EFs &amp; Helpers'!$AF$92)</xm:f>
          </x14:formula1>
          <xm:sqref>E18</xm:sqref>
        </x14:dataValidation>
        <x14:dataValidation type="list" allowBlank="1" showInputMessage="1" showErrorMessage="1" xr:uid="{D7BAE566-2ADA-4AAF-AE26-7D8544FDB9DB}">
          <x14:formula1>
            <xm:f>_xlfn.ANCHORARRAY('Tool - EFs &amp; Helpers'!$AF$58)</xm:f>
          </x14:formula1>
          <xm:sqref>E16</xm:sqref>
        </x14:dataValidation>
        <x14:dataValidation type="list" allowBlank="1" showInputMessage="1" showErrorMessage="1" xr:uid="{808A06C4-6E35-450D-8C03-6B7BF282D114}">
          <x14:formula1>
            <xm:f>_xlfn.ANCHORARRAY('Tool - EFs &amp; Helpers'!$AF$41)</xm:f>
          </x14:formula1>
          <xm:sqref>E15</xm:sqref>
        </x14:dataValidation>
        <x14:dataValidation type="list" allowBlank="1" showInputMessage="1" showErrorMessage="1" xr:uid="{E33D2BBC-771D-4BAC-9D78-D3FCD66DA8A9}">
          <x14:formula1>
            <xm:f>_xlfn.ANCHORARRAY('Tool - EFs &amp; Helpers'!$AF$23)</xm:f>
          </x14:formula1>
          <xm:sqref>E14</xm:sqref>
        </x14:dataValidation>
        <x14:dataValidation type="list" allowBlank="1" showInputMessage="1" showErrorMessage="1" xr:uid="{BA0BF2C8-E73E-4EBB-912D-B916A95DC30D}">
          <x14:formula1>
            <xm:f>_xlfn.ANCHORARRAY('Tool - EFs &amp; Helpers'!$AF$6)</xm:f>
          </x14:formula1>
          <xm:sqref>E13</xm:sqref>
        </x14:dataValidation>
        <x14:dataValidation type="list" allowBlank="1" showInputMessage="1" showErrorMessage="1" xr:uid="{B2AC4213-8C30-4FF4-81F5-80731F79FFEF}">
          <x14:formula1>
            <xm:f>_xlfn.ANCHORARRAY('Tool - EFs &amp; Helpers'!$AR$7)</xm:f>
          </x14:formula1>
          <xm:sqref>C51:C55</xm:sqref>
        </x14:dataValidation>
        <x14:dataValidation type="list" allowBlank="1" showInputMessage="1" showErrorMessage="1" xr:uid="{A5874089-DE30-4FF0-B758-915933ED63BE}">
          <x14:formula1>
            <xm:f>_xlfn.ANCHORARRAY('Tool - EFs &amp; Helpers'!$AS$7)</xm:f>
          </x14:formula1>
          <xm:sqref>D51</xm:sqref>
        </x14:dataValidation>
        <x14:dataValidation type="list" allowBlank="1" showInputMessage="1" showErrorMessage="1" xr:uid="{68A8DCEB-518A-40FF-90EF-EC11FA264329}">
          <x14:formula1>
            <xm:f>_xlfn.ANCHORARRAY('Tool - EFs &amp; Helpers'!$AT$7)</xm:f>
          </x14:formula1>
          <xm:sqref>E51</xm:sqref>
        </x14:dataValidation>
        <x14:dataValidation type="list" showInputMessage="1" showErrorMessage="1" xr:uid="{E9BAEF27-8CD0-4B1B-BD38-C48A63EBEE6F}">
          <x14:formula1>
            <xm:f>_xlfn.ANCHORARRAY('Tool - EFs &amp; Helpers'!$T$14)</xm:f>
          </x14:formula1>
          <xm:sqref>C37:C41</xm:sqref>
        </x14:dataValidation>
        <x14:dataValidation type="list" allowBlank="1" showInputMessage="1" showErrorMessage="1" xr:uid="{10EED9D0-B2B6-40F9-B178-D713CC092922}">
          <x14:formula1>
            <xm:f>_xlfn.ANCHORARRAY('Tool - EFs &amp; Helpers'!$T$46)</xm:f>
          </x14:formula1>
          <xm:sqref>C61:C64</xm:sqref>
        </x14:dataValidation>
        <x14:dataValidation type="list" allowBlank="1" showInputMessage="1" showErrorMessage="1" xr:uid="{32CA869E-AF97-4C18-ABA6-452CB5489BAB}">
          <x14:formula1>
            <xm:f>_xlfn.ANCHORARRAY('Tool - EFs &amp; Helpers'!$AC$138)</xm:f>
          </x14:formula1>
          <xm:sqref>C45:C47</xm:sqref>
        </x14:dataValidation>
        <x14:dataValidation type="list" allowBlank="1" showInputMessage="1" showErrorMessage="1" xr:uid="{CE42087E-4318-4205-B26C-936E5987710B}">
          <x14:formula1>
            <xm:f>_xlfn.ANCHORARRAY('Tool - EFs &amp; Helpers'!$AT$119)</xm:f>
          </x14:formula1>
          <xm:sqref>E55</xm:sqref>
        </x14:dataValidation>
        <x14:dataValidation type="list" allowBlank="1" showInputMessage="1" showErrorMessage="1" xr:uid="{520E6840-407B-4D3A-9EC8-30A13937DB9E}">
          <x14:formula1>
            <xm:f>_xlfn.ANCHORARRAY('Tool - EFs &amp; Helpers'!$AS$35)</xm:f>
          </x14:formula1>
          <xm:sqref>D52</xm:sqref>
        </x14:dataValidation>
        <x14:dataValidation type="list" allowBlank="1" showInputMessage="1" showErrorMessage="1" xr:uid="{BD48F17E-755B-447B-849C-2535936534C0}">
          <x14:formula1>
            <xm:f>_xlfn.ANCHORARRAY('Tool - EFs &amp; Helpers'!$AT$35)</xm:f>
          </x14:formula1>
          <xm:sqref>E52</xm:sqref>
        </x14:dataValidation>
        <x14:dataValidation type="list" allowBlank="1" showInputMessage="1" showErrorMessage="1" xr:uid="{8089AD7C-24FD-4127-84E4-B0976EFE0FA0}">
          <x14:formula1>
            <xm:f>_xlfn.ANCHORARRAY('Tool - EFs &amp; Helpers'!$AS$63)</xm:f>
          </x14:formula1>
          <xm:sqref>D53</xm:sqref>
        </x14:dataValidation>
        <x14:dataValidation type="list" allowBlank="1" showInputMessage="1" showErrorMessage="1" xr:uid="{04999BB9-3CD9-4BB1-BF71-946029AD96CA}">
          <x14:formula1>
            <xm:f>_xlfn.ANCHORARRAY('Tool - EFs &amp; Helpers'!$AT$63)</xm:f>
          </x14:formula1>
          <xm:sqref>E53</xm:sqref>
        </x14:dataValidation>
        <x14:dataValidation type="list" allowBlank="1" showInputMessage="1" showErrorMessage="1" xr:uid="{CC638D62-BF3B-49B6-8364-459D9733136E}">
          <x14:formula1>
            <xm:f>_xlfn.ANCHORARRAY('Tool - EFs &amp; Helpers'!$AS$91)</xm:f>
          </x14:formula1>
          <xm:sqref>D54</xm:sqref>
        </x14:dataValidation>
        <x14:dataValidation type="list" allowBlank="1" showInputMessage="1" showErrorMessage="1" xr:uid="{DF9774E9-E056-4D5D-A46A-477E726F20AE}">
          <x14:formula1>
            <xm:f>_xlfn.ANCHORARRAY('Tool - EFs &amp; Helpers'!$AT$91)</xm:f>
          </x14:formula1>
          <xm:sqref>E54</xm:sqref>
        </x14:dataValidation>
        <x14:dataValidation type="list" allowBlank="1" showInputMessage="1" showErrorMessage="1" xr:uid="{41202042-D5F5-42F7-B5BF-4A3CFF25C65C}">
          <x14:formula1>
            <xm:f>_xlfn.ANCHORARRAY('Tool - EFs &amp; Helpers'!$AS$119)</xm:f>
          </x14:formula1>
          <xm:sqref>D55</xm:sqref>
        </x14:dataValidation>
        <x14:dataValidation type="list" allowBlank="1" showInputMessage="1" showErrorMessage="1" xr:uid="{029D1C56-819E-4945-A566-467BD40CAF6D}">
          <x14:formula1>
            <xm:f>_xlfn.ANCHORARRAY('Tool - EFs &amp; Helpers'!$AE6)</xm:f>
          </x14:formula1>
          <xm:sqref>E13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357C7-8600-44A0-BBD6-C6006560C799}">
  <sheetPr codeName="Sheet10">
    <tabColor rgb="FF7030A0"/>
  </sheetPr>
  <dimension ref="A1:I75"/>
  <sheetViews>
    <sheetView showGridLines="0" topLeftCell="A4" zoomScale="40" zoomScaleNormal="40" workbookViewId="0">
      <selection activeCell="D56" sqref="D56"/>
    </sheetView>
  </sheetViews>
  <sheetFormatPr defaultRowHeight="18" x14ac:dyDescent="0.35"/>
  <cols>
    <col min="1" max="1" width="9.1796875" style="109" customWidth="1"/>
    <col min="2" max="2" width="59.1796875" style="14" customWidth="1"/>
    <col min="3" max="5" width="41" style="14" customWidth="1"/>
    <col min="6" max="6" width="40.7265625" style="51" customWidth="1"/>
    <col min="7" max="8" width="40.7265625" style="14" customWidth="1"/>
    <col min="9" max="9" width="66.90625" style="14" customWidth="1"/>
    <col min="10" max="16384" width="8.7265625" style="14"/>
  </cols>
  <sheetData>
    <row r="1" spans="1:9" ht="73" customHeight="1" x14ac:dyDescent="0.35">
      <c r="B1" s="331" t="s">
        <v>561</v>
      </c>
      <c r="C1" s="331"/>
      <c r="D1" s="331"/>
      <c r="E1" s="331"/>
      <c r="F1" s="331"/>
      <c r="G1" s="331"/>
      <c r="H1" s="331"/>
      <c r="I1" s="331"/>
    </row>
    <row r="2" spans="1:9" ht="34.5" customHeight="1" x14ac:dyDescent="0.35">
      <c r="B2" s="352" t="str">
        <f>IF('Project Description'!$C$19="Annual Reporting", "Annual Emissions", "Project-level Emissions")</f>
        <v>Project-level Emissions</v>
      </c>
      <c r="C2" s="352"/>
      <c r="D2" s="352"/>
      <c r="E2" s="352"/>
      <c r="F2" s="352"/>
      <c r="G2" s="352"/>
      <c r="H2" s="352"/>
      <c r="I2" s="352"/>
    </row>
    <row r="3" spans="1:9" ht="20.5" x14ac:dyDescent="0.35">
      <c r="A3" s="181"/>
      <c r="B3" s="329" t="str">
        <f>'About this tool'!C49</f>
        <v>This sheet calculates GHG emissions for the project scenario based on the project inventory data and selected emission factors. These results reflect the emissions associated with the implemented solution or intervention.</v>
      </c>
      <c r="C3" s="329"/>
      <c r="D3" s="329"/>
      <c r="E3" s="329"/>
      <c r="F3" s="329"/>
      <c r="G3" s="329"/>
      <c r="H3" s="329"/>
    </row>
    <row r="4" spans="1:9" x14ac:dyDescent="0.35">
      <c r="G4" s="16"/>
      <c r="H4" s="16"/>
    </row>
    <row r="5" spans="1:9" ht="25" customHeight="1" x14ac:dyDescent="0.35">
      <c r="A5" s="14"/>
      <c r="B5" s="26" t="str">
        <f>'Project Description'!B19</f>
        <v>Scope</v>
      </c>
      <c r="C5" s="216" t="str">
        <f>'Project Description'!C19</f>
        <v>Select Scope</v>
      </c>
      <c r="D5" s="16"/>
      <c r="G5" s="113" t="s">
        <v>579</v>
      </c>
      <c r="H5" s="114" t="s">
        <v>582</v>
      </c>
    </row>
    <row r="6" spans="1:9" ht="25" customHeight="1" x14ac:dyDescent="0.35">
      <c r="A6" s="14"/>
      <c r="B6" s="26" t="str">
        <f>'Project Description'!B20</f>
        <v>System Boundary</v>
      </c>
      <c r="C6" s="216" t="str">
        <f>'Project Description'!C20</f>
        <v>Select Boundary</v>
      </c>
      <c r="D6" s="16"/>
      <c r="G6" s="45" t="s">
        <v>583</v>
      </c>
      <c r="H6" s="107" t="s">
        <v>580</v>
      </c>
    </row>
    <row r="7" spans="1:9" ht="28.5" customHeight="1" x14ac:dyDescent="0.35">
      <c r="A7" s="14"/>
      <c r="B7" s="26" t="str">
        <f>'Project Description'!E12</f>
        <v xml:space="preserve">Reporting/Target Year </v>
      </c>
      <c r="C7" s="98" t="str">
        <f>'Project Description'!F12</f>
        <v>Please Select Year</v>
      </c>
      <c r="D7" s="16"/>
      <c r="G7" s="16"/>
      <c r="H7" s="16"/>
    </row>
    <row r="8" spans="1:9" ht="25.5" customHeight="1" x14ac:dyDescent="0.35">
      <c r="A8" s="14"/>
      <c r="B8" s="26" t="s">
        <v>394</v>
      </c>
      <c r="C8" s="98">
        <f>'Project Description'!F21</f>
        <v>0</v>
      </c>
      <c r="D8" s="98">
        <f>'Project Description'!G21</f>
        <v>0</v>
      </c>
      <c r="G8" s="16"/>
      <c r="H8" s="16"/>
    </row>
    <row r="9" spans="1:9" x14ac:dyDescent="0.35">
      <c r="A9" s="14"/>
      <c r="B9" s="21"/>
      <c r="C9" s="38"/>
      <c r="G9" s="16"/>
      <c r="H9" s="16"/>
    </row>
    <row r="10" spans="1:9" ht="30.5" customHeight="1" x14ac:dyDescent="0.35">
      <c r="A10" s="14"/>
      <c r="B10" s="324" t="str">
        <f>'Annual (or) Project Inventory'!B10</f>
        <v>1. Raw Material (RM) Extraction &amp; Use Phase</v>
      </c>
      <c r="C10" s="324"/>
      <c r="D10" s="324"/>
      <c r="E10" s="324"/>
      <c r="F10" s="324"/>
      <c r="G10" s="324"/>
      <c r="H10" s="324"/>
      <c r="I10" s="324"/>
    </row>
    <row r="11" spans="1:9" ht="30.5" customHeight="1" x14ac:dyDescent="0.35">
      <c r="A11" s="14"/>
      <c r="B11" s="329" t="str">
        <f>'Annual (or) Project Inventory'!B11</f>
        <v xml:space="preserve">Covers the sourcing, quantity, and type of raw materials used in the product or project, including upstream impacts associated with material extraction and processing. Fill the data in relation to the Functional Unit (FU) selected. </v>
      </c>
      <c r="C11" s="329"/>
      <c r="D11" s="329"/>
      <c r="E11" s="329"/>
      <c r="F11" s="329"/>
      <c r="G11" s="329"/>
      <c r="H11" s="329"/>
      <c r="I11" s="329"/>
    </row>
    <row r="12" spans="1:9" ht="25" customHeight="1" x14ac:dyDescent="0.35">
      <c r="A12" s="14"/>
      <c r="B12" s="24" t="s">
        <v>48</v>
      </c>
      <c r="C12" s="340" t="s">
        <v>51</v>
      </c>
      <c r="D12" s="340"/>
      <c r="E12" s="24" t="s">
        <v>52</v>
      </c>
      <c r="F12" s="35" t="s">
        <v>397</v>
      </c>
      <c r="G12" s="184" t="s">
        <v>54</v>
      </c>
      <c r="H12" s="425" t="s">
        <v>379</v>
      </c>
      <c r="I12" s="425"/>
    </row>
    <row r="13" spans="1:9" ht="25" customHeight="1" x14ac:dyDescent="0.35">
      <c r="A13" s="14"/>
      <c r="B13" s="389" t="s">
        <v>513</v>
      </c>
      <c r="C13" s="413" t="str">
        <f>'Annual (or) Project Inventory'!C13</f>
        <v>Select Material Type</v>
      </c>
      <c r="D13" s="413"/>
      <c r="E13" s="41" t="str">
        <f>'Annual (or) Project Inventory'!E13</f>
        <v>Select Material</v>
      </c>
      <c r="F13" s="54">
        <f>VLOOKUP(E13,Material_table[[Material]:[Emission Factor]],2,FALSE)*'Annual (or) Project Inventory'!F13</f>
        <v>0</v>
      </c>
      <c r="G13" s="45" t="str">
        <f>"kg-CO₂ eq/" &amp;$C$8 &amp; " " &amp;$D$8</f>
        <v>kg-CO₂ eq/0 0</v>
      </c>
      <c r="H13" s="443" t="s">
        <v>821</v>
      </c>
      <c r="I13" s="444"/>
    </row>
    <row r="14" spans="1:9" ht="25" customHeight="1" x14ac:dyDescent="0.35">
      <c r="A14" s="14"/>
      <c r="B14" s="389"/>
      <c r="C14" s="413" t="str">
        <f>'Annual (or) Project Inventory'!C14</f>
        <v>Select Material Type</v>
      </c>
      <c r="D14" s="413"/>
      <c r="E14" s="41" t="str">
        <f>'Annual (or) Project Inventory'!E14</f>
        <v>Select Material</v>
      </c>
      <c r="F14" s="54">
        <f>VLOOKUP(E14,Material_table[[Material]:[Emission Factor]],2,FALSE)*'Annual (or) Project Inventory'!F14</f>
        <v>0</v>
      </c>
      <c r="G14" s="45" t="str">
        <f t="shared" ref="G14:G27" si="0">"kg-CO₂ eq/" &amp;$C$8 &amp; " " &amp;$D$8</f>
        <v>kg-CO₂ eq/0 0</v>
      </c>
      <c r="H14" s="445"/>
      <c r="I14" s="446"/>
    </row>
    <row r="15" spans="1:9" ht="25" customHeight="1" x14ac:dyDescent="0.35">
      <c r="A15" s="14"/>
      <c r="B15" s="389"/>
      <c r="C15" s="413" t="str">
        <f>'Annual (or) Project Inventory'!C15</f>
        <v>Select Material Type</v>
      </c>
      <c r="D15" s="413"/>
      <c r="E15" s="41" t="str">
        <f>'Annual (or) Project Inventory'!E15</f>
        <v>Select Material</v>
      </c>
      <c r="F15" s="57">
        <f>VLOOKUP(E15,Material_table[[Material]:[Emission Factor]],2,FALSE)*'Annual (or) Project Inventory'!F15</f>
        <v>0</v>
      </c>
      <c r="G15" s="45" t="str">
        <f t="shared" si="0"/>
        <v>kg-CO₂ eq/0 0</v>
      </c>
      <c r="H15" s="445"/>
      <c r="I15" s="446"/>
    </row>
    <row r="16" spans="1:9" ht="25" customHeight="1" x14ac:dyDescent="0.35">
      <c r="A16" s="14"/>
      <c r="B16" s="389"/>
      <c r="C16" s="413" t="str">
        <f>'Annual (or) Project Inventory'!C16</f>
        <v>Select Material Type</v>
      </c>
      <c r="D16" s="413"/>
      <c r="E16" s="41" t="str">
        <f>'Annual (or) Project Inventory'!E16</f>
        <v>Select Material</v>
      </c>
      <c r="F16" s="54">
        <f>VLOOKUP(E16,Material_table[[Material]:[Emission Factor]],2,FALSE)*'Annual (or) Project Inventory'!F16</f>
        <v>0</v>
      </c>
      <c r="G16" s="45" t="str">
        <f t="shared" si="0"/>
        <v>kg-CO₂ eq/0 0</v>
      </c>
      <c r="H16" s="445"/>
      <c r="I16" s="446"/>
    </row>
    <row r="17" spans="1:9" ht="25" customHeight="1" x14ac:dyDescent="0.35">
      <c r="A17" s="14"/>
      <c r="B17" s="389"/>
      <c r="C17" s="413" t="str">
        <f>'Annual (or) Project Inventory'!C17</f>
        <v>Select Material Type</v>
      </c>
      <c r="D17" s="413"/>
      <c r="E17" s="41" t="str">
        <f>'Annual (or) Project Inventory'!E17</f>
        <v>Select Material</v>
      </c>
      <c r="F17" s="55">
        <f>VLOOKUP(E17,Material_table[[Material]:[Emission Factor]],2,FALSE)*'Annual (or) Project Inventory'!F17</f>
        <v>0</v>
      </c>
      <c r="G17" s="45" t="str">
        <f t="shared" si="0"/>
        <v>kg-CO₂ eq/0 0</v>
      </c>
      <c r="H17" s="445"/>
      <c r="I17" s="446"/>
    </row>
    <row r="18" spans="1:9" ht="25" customHeight="1" x14ac:dyDescent="0.35">
      <c r="A18" s="14"/>
      <c r="B18" s="389"/>
      <c r="C18" s="413" t="str">
        <f>'Annual (or) Project Inventory'!C18</f>
        <v>Select Material Type</v>
      </c>
      <c r="D18" s="413"/>
      <c r="E18" s="41" t="str">
        <f>'Annual (or) Project Inventory'!E18</f>
        <v>Select Material</v>
      </c>
      <c r="F18" s="54">
        <f>VLOOKUP(E18,Material_table[[Material]:[Emission Factor]],2,FALSE)*'Annual (or) Project Inventory'!F18</f>
        <v>0</v>
      </c>
      <c r="G18" s="45" t="str">
        <f t="shared" si="0"/>
        <v>kg-CO₂ eq/0 0</v>
      </c>
      <c r="H18" s="445"/>
      <c r="I18" s="446"/>
    </row>
    <row r="19" spans="1:9" ht="25" customHeight="1" x14ac:dyDescent="0.35">
      <c r="A19" s="14"/>
      <c r="B19" s="389"/>
      <c r="C19" s="413" t="str">
        <f>'Annual (or) Project Inventory'!C19</f>
        <v>Select Material Type</v>
      </c>
      <c r="D19" s="413"/>
      <c r="E19" s="41" t="str">
        <f>'Annual (or) Project Inventory'!E19</f>
        <v>Select Material</v>
      </c>
      <c r="F19" s="55">
        <f>VLOOKUP(E19,Material_table[[Material]:[Emission Factor]],2,FALSE)*'Annual (or) Project Inventory'!F19</f>
        <v>0</v>
      </c>
      <c r="G19" s="45" t="str">
        <f t="shared" si="0"/>
        <v>kg-CO₂ eq/0 0</v>
      </c>
      <c r="H19" s="445"/>
      <c r="I19" s="446"/>
    </row>
    <row r="20" spans="1:9" ht="25" customHeight="1" x14ac:dyDescent="0.35">
      <c r="A20" s="14"/>
      <c r="B20" s="389"/>
      <c r="C20" s="413" t="str">
        <f>'Annual (or) Project Inventory'!C20</f>
        <v>Select Material Type</v>
      </c>
      <c r="D20" s="413"/>
      <c r="E20" s="41" t="str">
        <f>'Annual (or) Project Inventory'!E20</f>
        <v>Select Material</v>
      </c>
      <c r="F20" s="54">
        <f>VLOOKUP(E20,Material_table[[Material]:[Emission Factor]],2,FALSE)*'Annual (or) Project Inventory'!F20</f>
        <v>0</v>
      </c>
      <c r="G20" s="45" t="str">
        <f t="shared" si="0"/>
        <v>kg-CO₂ eq/0 0</v>
      </c>
      <c r="H20" s="445"/>
      <c r="I20" s="446"/>
    </row>
    <row r="21" spans="1:9" ht="25" customHeight="1" x14ac:dyDescent="0.35">
      <c r="A21" s="14"/>
      <c r="B21" s="389"/>
      <c r="C21" s="413" t="str">
        <f>'Annual (or) Project Inventory'!C21</f>
        <v>Select Material Type</v>
      </c>
      <c r="D21" s="413"/>
      <c r="E21" s="41" t="str">
        <f>'Annual (or) Project Inventory'!E21</f>
        <v>Select Material</v>
      </c>
      <c r="F21" s="55">
        <f>VLOOKUP(E21,Material_table[[Material]:[Emission Factor]],2,FALSE)*'Annual (or) Project Inventory'!F21</f>
        <v>0</v>
      </c>
      <c r="G21" s="45" t="str">
        <f t="shared" si="0"/>
        <v>kg-CO₂ eq/0 0</v>
      </c>
      <c r="H21" s="445"/>
      <c r="I21" s="446"/>
    </row>
    <row r="22" spans="1:9" ht="25" customHeight="1" x14ac:dyDescent="0.35">
      <c r="A22" s="14"/>
      <c r="B22" s="389"/>
      <c r="C22" s="413" t="str">
        <f>'Annual (or) Project Inventory'!C22</f>
        <v>Select Material Type</v>
      </c>
      <c r="D22" s="413"/>
      <c r="E22" s="41" t="str">
        <f>'Annual (or) Project Inventory'!E22</f>
        <v>Select Material</v>
      </c>
      <c r="F22" s="54">
        <f>VLOOKUP(E22,Material_table[[Material]:[Emission Factor]],2,FALSE)*'Annual (or) Project Inventory'!F22</f>
        <v>0</v>
      </c>
      <c r="G22" s="45" t="str">
        <f t="shared" si="0"/>
        <v>kg-CO₂ eq/0 0</v>
      </c>
      <c r="H22" s="445"/>
      <c r="I22" s="446"/>
    </row>
    <row r="23" spans="1:9" ht="25" customHeight="1" x14ac:dyDescent="0.35">
      <c r="A23" s="14"/>
      <c r="B23" s="389"/>
      <c r="C23" s="413" t="str">
        <f>'Annual (or) Project Inventory'!C23</f>
        <v>Select Material Type</v>
      </c>
      <c r="D23" s="413"/>
      <c r="E23" s="41" t="str">
        <f>'Annual (or) Project Inventory'!E23</f>
        <v>Select Material</v>
      </c>
      <c r="F23" s="54">
        <f>VLOOKUP(E23,Material_table[[Material]:[Emission Factor]],2,FALSE)*'Annual (or) Project Inventory'!F23</f>
        <v>0</v>
      </c>
      <c r="G23" s="45" t="str">
        <f t="shared" si="0"/>
        <v>kg-CO₂ eq/0 0</v>
      </c>
      <c r="H23" s="445"/>
      <c r="I23" s="446"/>
    </row>
    <row r="24" spans="1:9" ht="25" customHeight="1" x14ac:dyDescent="0.35">
      <c r="A24" s="14"/>
      <c r="B24" s="389"/>
      <c r="C24" s="413" t="str">
        <f>'Annual (or) Project Inventory'!C24</f>
        <v>Select Material Type</v>
      </c>
      <c r="D24" s="413"/>
      <c r="E24" s="41" t="str">
        <f>'Annual (or) Project Inventory'!E24</f>
        <v>Select Material</v>
      </c>
      <c r="F24" s="55">
        <f>VLOOKUP(E24,Material_table[[Material]:[Emission Factor]],2,FALSE)*'Annual (or) Project Inventory'!F24</f>
        <v>0</v>
      </c>
      <c r="G24" s="45" t="str">
        <f t="shared" si="0"/>
        <v>kg-CO₂ eq/0 0</v>
      </c>
      <c r="H24" s="445"/>
      <c r="I24" s="446"/>
    </row>
    <row r="25" spans="1:9" ht="25" customHeight="1" x14ac:dyDescent="0.35">
      <c r="A25" s="14"/>
      <c r="B25" s="389"/>
      <c r="C25" s="413" t="str">
        <f>'Annual (or) Project Inventory'!C25</f>
        <v>Select Material Type</v>
      </c>
      <c r="D25" s="413"/>
      <c r="E25" s="41" t="str">
        <f>'Annual (or) Project Inventory'!E25</f>
        <v>Select Material</v>
      </c>
      <c r="F25" s="54">
        <f>VLOOKUP(E25,Material_table[[Material]:[Emission Factor]],2,FALSE)*'Annual (or) Project Inventory'!F25</f>
        <v>0</v>
      </c>
      <c r="G25" s="45" t="str">
        <f t="shared" si="0"/>
        <v>kg-CO₂ eq/0 0</v>
      </c>
      <c r="H25" s="445"/>
      <c r="I25" s="446"/>
    </row>
    <row r="26" spans="1:9" ht="25" customHeight="1" x14ac:dyDescent="0.35">
      <c r="A26" s="14"/>
      <c r="B26" s="389"/>
      <c r="C26" s="413" t="str">
        <f>'Annual (or) Project Inventory'!C26</f>
        <v>Select Material Type</v>
      </c>
      <c r="D26" s="413"/>
      <c r="E26" s="41" t="str">
        <f>'Annual (or) Project Inventory'!E26</f>
        <v>Select Material</v>
      </c>
      <c r="F26" s="54">
        <f>VLOOKUP(E26,Material_table[[Material]:[Emission Factor]],2,FALSE)*'Annual (or) Project Inventory'!F26</f>
        <v>0</v>
      </c>
      <c r="G26" s="45" t="str">
        <f t="shared" si="0"/>
        <v>kg-CO₂ eq/0 0</v>
      </c>
      <c r="H26" s="445"/>
      <c r="I26" s="446"/>
    </row>
    <row r="27" spans="1:9" ht="25" customHeight="1" x14ac:dyDescent="0.35">
      <c r="A27" s="14"/>
      <c r="B27" s="389"/>
      <c r="C27" s="413" t="str">
        <f>'Annual (or) Project Inventory'!C27</f>
        <v>Select Material Type</v>
      </c>
      <c r="D27" s="413"/>
      <c r="E27" s="41" t="str">
        <f>'Annual (or) Project Inventory'!E27</f>
        <v>Select Material</v>
      </c>
      <c r="F27" s="55">
        <f>VLOOKUP(E27,Material_table[[Material]:[Emission Factor]],2,FALSE)*'Annual (or) Project Inventory'!F27</f>
        <v>0</v>
      </c>
      <c r="G27" s="45" t="str">
        <f t="shared" si="0"/>
        <v>kg-CO₂ eq/0 0</v>
      </c>
      <c r="H27" s="445"/>
      <c r="I27" s="446"/>
    </row>
    <row r="28" spans="1:9" ht="25" customHeight="1" x14ac:dyDescent="0.35">
      <c r="A28" s="14"/>
      <c r="B28" s="465" t="s">
        <v>514</v>
      </c>
      <c r="C28" s="465"/>
      <c r="D28" s="465"/>
      <c r="E28" s="466"/>
      <c r="F28" s="54">
        <f>SUM(F13:F27)</f>
        <v>0</v>
      </c>
      <c r="G28" s="45" t="str">
        <f>"kg-CO₂ eq/" &amp;$C$8 &amp; " " &amp;$D$8</f>
        <v>kg-CO₂ eq/0 0</v>
      </c>
      <c r="H28" s="447"/>
      <c r="I28" s="448"/>
    </row>
    <row r="29" spans="1:9" ht="25" customHeight="1" x14ac:dyDescent="0.35">
      <c r="A29" s="14"/>
      <c r="G29" s="16"/>
      <c r="H29" s="16"/>
    </row>
    <row r="30" spans="1:9" s="16" customFormat="1" ht="25" customHeight="1" x14ac:dyDescent="0.35">
      <c r="A30" s="14"/>
    </row>
    <row r="31" spans="1:9" s="21" customFormat="1" ht="25" customHeight="1" x14ac:dyDescent="0.35">
      <c r="A31" s="181"/>
      <c r="B31" s="456" t="s">
        <v>657</v>
      </c>
      <c r="C31" s="456"/>
      <c r="D31" s="456"/>
      <c r="E31" s="457"/>
      <c r="F31" s="72">
        <f>F28</f>
        <v>0</v>
      </c>
      <c r="G31" s="440" t="s">
        <v>654</v>
      </c>
      <c r="H31" s="441"/>
      <c r="I31" s="442"/>
    </row>
    <row r="32" spans="1:9" s="21" customFormat="1" ht="25" customHeight="1" x14ac:dyDescent="0.35">
      <c r="A32" s="181"/>
      <c r="B32" s="19"/>
      <c r="C32" s="19"/>
      <c r="D32" s="19"/>
      <c r="E32" s="19"/>
      <c r="F32" s="317"/>
      <c r="G32" s="73"/>
      <c r="H32" s="73"/>
      <c r="I32" s="73"/>
    </row>
    <row r="33" spans="1:9" s="21" customFormat="1" ht="25" customHeight="1" x14ac:dyDescent="0.35">
      <c r="A33" s="181"/>
      <c r="B33" s="308" t="str">
        <f>'Annual (or) Project Inventory'!B31</f>
        <v xml:space="preserve">2. Manufacturing Phase - Energy Use </v>
      </c>
      <c r="C33" s="308"/>
      <c r="D33" s="308"/>
      <c r="E33" s="308"/>
      <c r="F33" s="308"/>
      <c r="G33" s="308"/>
      <c r="H33" s="308"/>
      <c r="I33" s="308"/>
    </row>
    <row r="34" spans="1:9" s="21" customFormat="1" ht="25" customHeight="1" x14ac:dyDescent="0.35">
      <c r="A34" s="181"/>
      <c r="B34" s="15" t="str">
        <f>'Annual (or) Project Inventory'!B32</f>
        <v xml:space="preserve">Accounts for energy consumed during manufacturing or processing activities, including electricity and fuel use, to estimate associated greenhouse gas emissions. Fill the data in relation to the Functional Unit (FU) selected. </v>
      </c>
      <c r="C34" s="15"/>
      <c r="D34" s="15"/>
      <c r="E34" s="15"/>
      <c r="F34" s="15"/>
      <c r="G34" s="15"/>
      <c r="H34" s="15"/>
      <c r="I34" s="14"/>
    </row>
    <row r="35" spans="1:9" s="21" customFormat="1" ht="25" customHeight="1" x14ac:dyDescent="0.35">
      <c r="A35" s="181"/>
      <c r="B35" s="362" t="s">
        <v>425</v>
      </c>
      <c r="C35" s="364"/>
      <c r="D35" s="364"/>
      <c r="E35" s="363"/>
      <c r="F35" s="35" t="s">
        <v>397</v>
      </c>
      <c r="G35" s="184" t="s">
        <v>23</v>
      </c>
      <c r="H35" s="467" t="s">
        <v>379</v>
      </c>
      <c r="I35" s="468"/>
    </row>
    <row r="36" spans="1:9" ht="51" customHeight="1" x14ac:dyDescent="0.35">
      <c r="A36" s="14"/>
      <c r="B36" s="428" t="s">
        <v>518</v>
      </c>
      <c r="C36" s="469"/>
      <c r="D36" s="469"/>
      <c r="E36" s="470"/>
      <c r="F36" s="59">
        <f>SUM(F39:F43)</f>
        <v>0</v>
      </c>
      <c r="G36" s="45" t="str">
        <f>"kg-CO₂ eq/" &amp;$C$8 &amp; " " &amp;$D$8</f>
        <v>kg-CO₂ eq/0 0</v>
      </c>
      <c r="H36" s="453">
        <f>'Annual (or) Project Inventory'!H34</f>
        <v>0</v>
      </c>
      <c r="I36" s="454"/>
    </row>
    <row r="37" spans="1:9" x14ac:dyDescent="0.35">
      <c r="A37" s="14"/>
    </row>
    <row r="38" spans="1:9" x14ac:dyDescent="0.35">
      <c r="A38" s="14"/>
      <c r="B38" s="24" t="s">
        <v>21</v>
      </c>
      <c r="C38" s="362" t="s">
        <v>22</v>
      </c>
      <c r="D38" s="363"/>
      <c r="E38" s="27" t="s">
        <v>56</v>
      </c>
      <c r="F38" s="35" t="s">
        <v>397</v>
      </c>
      <c r="G38" s="184" t="s">
        <v>397</v>
      </c>
      <c r="H38" s="467" t="s">
        <v>379</v>
      </c>
      <c r="I38" s="468"/>
    </row>
    <row r="39" spans="1:9" ht="30.5" customHeight="1" x14ac:dyDescent="0.35">
      <c r="A39" s="14"/>
      <c r="B39" s="399" t="s">
        <v>516</v>
      </c>
      <c r="C39" s="463" t="str">
        <f>'Annual (or) Project Inventory'!C37</f>
        <v>Select Power Source</v>
      </c>
      <c r="D39" s="464"/>
      <c r="E39" s="75">
        <f>'Annual (or) Project Inventory'!E37</f>
        <v>0</v>
      </c>
      <c r="F39" s="58">
        <f>VLOOKUP(C39,CO2eq_Fuel_table[],2,FALSE)*'Annual (or) Project Inventory'!F37</f>
        <v>0</v>
      </c>
      <c r="G39" s="45" t="str">
        <f>"kg-CO₂ eq/" &amp;$C$8 &amp; " " &amp;$D$8</f>
        <v>kg-CO₂ eq/0 0</v>
      </c>
      <c r="H39" s="443">
        <f>'Annual (or) Project Inventory'!H37</f>
        <v>0</v>
      </c>
      <c r="I39" s="444"/>
    </row>
    <row r="40" spans="1:9" ht="30.5" customHeight="1" x14ac:dyDescent="0.35">
      <c r="A40" s="14"/>
      <c r="B40" s="399"/>
      <c r="C40" s="463" t="str">
        <f>'Annual (or) Project Inventory'!C38</f>
        <v>Select Power Source</v>
      </c>
      <c r="D40" s="464"/>
      <c r="E40" s="76">
        <f>'Annual (or) Project Inventory'!E38</f>
        <v>0</v>
      </c>
      <c r="F40" s="59">
        <v>0</v>
      </c>
      <c r="G40" s="45" t="str">
        <f t="shared" ref="G40:G43" si="1">"kg-CO₂ eq/" &amp;$C$8 &amp; " " &amp;$D$8</f>
        <v>kg-CO₂ eq/0 0</v>
      </c>
      <c r="H40" s="445"/>
      <c r="I40" s="446"/>
    </row>
    <row r="41" spans="1:9" s="16" customFormat="1" ht="25" customHeight="1" x14ac:dyDescent="0.35">
      <c r="A41" s="14"/>
      <c r="B41" s="399"/>
      <c r="C41" s="332" t="str">
        <f>'Annual (or) Project Inventory'!C39</f>
        <v>Select Power Source</v>
      </c>
      <c r="D41" s="460"/>
      <c r="E41" s="78">
        <f>'Annual (or) Project Inventory'!E39</f>
        <v>0</v>
      </c>
      <c r="F41" s="60">
        <v>0</v>
      </c>
      <c r="G41" s="45" t="str">
        <f t="shared" si="1"/>
        <v>kg-CO₂ eq/0 0</v>
      </c>
      <c r="H41" s="445"/>
      <c r="I41" s="446"/>
    </row>
    <row r="42" spans="1:9" ht="25" customHeight="1" x14ac:dyDescent="0.35">
      <c r="A42" s="14"/>
      <c r="B42" s="399"/>
      <c r="C42" s="461" t="str">
        <f>'Annual (or) Project Inventory'!C40</f>
        <v>Select Power Source</v>
      </c>
      <c r="D42" s="462"/>
      <c r="E42" s="80">
        <f>'Annual (or) Project Inventory'!E40</f>
        <v>0</v>
      </c>
      <c r="F42" s="59">
        <v>0</v>
      </c>
      <c r="G42" s="45" t="str">
        <f t="shared" si="1"/>
        <v>kg-CO₂ eq/0 0</v>
      </c>
      <c r="H42" s="445"/>
      <c r="I42" s="446"/>
    </row>
    <row r="43" spans="1:9" ht="25" customHeight="1" x14ac:dyDescent="0.35">
      <c r="A43" s="14"/>
      <c r="B43" s="399"/>
      <c r="C43" s="332" t="str">
        <f>'Annual (or) Project Inventory'!C41</f>
        <v>Select Power Source</v>
      </c>
      <c r="D43" s="460"/>
      <c r="E43" s="78">
        <f>'Annual (or) Project Inventory'!E41</f>
        <v>0</v>
      </c>
      <c r="F43" s="81">
        <v>0</v>
      </c>
      <c r="G43" s="45" t="str">
        <f t="shared" si="1"/>
        <v>kg-CO₂ eq/0 0</v>
      </c>
      <c r="H43" s="447"/>
      <c r="I43" s="448"/>
    </row>
    <row r="44" spans="1:9" ht="25" customHeight="1" x14ac:dyDescent="0.35">
      <c r="A44" s="14"/>
      <c r="B44" s="399"/>
      <c r="C44" s="406" t="str">
        <f>'Annual (or) Project Inventory'!C42</f>
        <v>Total</v>
      </c>
      <c r="D44" s="406"/>
      <c r="E44" s="82">
        <f>'Annual (or) Project Inventory'!E42</f>
        <v>0</v>
      </c>
      <c r="G44" s="18"/>
      <c r="H44" s="16"/>
    </row>
    <row r="45" spans="1:9" ht="25" customHeight="1" x14ac:dyDescent="0.35">
      <c r="A45" s="14"/>
      <c r="F45" s="14"/>
    </row>
    <row r="46" spans="1:9" ht="25" customHeight="1" x14ac:dyDescent="0.35">
      <c r="A46" s="14"/>
      <c r="B46" s="24" t="s">
        <v>426</v>
      </c>
      <c r="C46" s="340" t="s">
        <v>55</v>
      </c>
      <c r="D46" s="340"/>
      <c r="E46" s="340"/>
      <c r="F46" s="35" t="s">
        <v>397</v>
      </c>
      <c r="G46" s="184" t="s">
        <v>54</v>
      </c>
      <c r="H46" s="425" t="s">
        <v>379</v>
      </c>
      <c r="I46" s="425"/>
    </row>
    <row r="47" spans="1:9" ht="25" customHeight="1" x14ac:dyDescent="0.35">
      <c r="B47" s="43" t="s">
        <v>515</v>
      </c>
      <c r="C47" s="413" t="str">
        <f>'Annual (or) Project Inventory'!C45</f>
        <v>Select Water Type</v>
      </c>
      <c r="D47" s="413"/>
      <c r="E47" s="414"/>
      <c r="F47" s="59" t="e">
        <f>VLOOKUP(C47,Material_table[[Material]:[Emission Factor]],2,FALSE)*'Annual (or) Project Inventory'!F45</f>
        <v>#VALUE!</v>
      </c>
      <c r="G47" s="45" t="str">
        <f>"kg-CO₂ eq/" &amp;$C$8 &amp; " " &amp;$D$8</f>
        <v>kg-CO₂ eq/0 0</v>
      </c>
      <c r="H47" s="453">
        <f>'Annual (or) Project Inventory'!H45</f>
        <v>0</v>
      </c>
      <c r="I47" s="454"/>
    </row>
    <row r="48" spans="1:9" ht="25" customHeight="1" x14ac:dyDescent="0.35">
      <c r="F48" s="14"/>
    </row>
    <row r="49" spans="1:9" ht="25" customHeight="1" x14ac:dyDescent="0.35">
      <c r="B49" s="457" t="s">
        <v>454</v>
      </c>
      <c r="C49" s="458"/>
      <c r="D49" s="458"/>
      <c r="E49" s="459"/>
      <c r="F49" s="95" t="e">
        <f>F36+F47</f>
        <v>#VALUE!</v>
      </c>
      <c r="G49" s="440" t="s">
        <v>654</v>
      </c>
      <c r="H49" s="441"/>
      <c r="I49" s="442"/>
    </row>
    <row r="50" spans="1:9" ht="25" customHeight="1" x14ac:dyDescent="0.35">
      <c r="F50" s="14"/>
    </row>
    <row r="51" spans="1:9" ht="25" customHeight="1" x14ac:dyDescent="0.35">
      <c r="B51" s="18"/>
      <c r="E51" s="63"/>
      <c r="G51" s="18"/>
      <c r="H51" s="16"/>
    </row>
    <row r="52" spans="1:9" ht="30.5" customHeight="1" x14ac:dyDescent="0.35">
      <c r="B52" s="324" t="str">
        <f>'Annual (or) Project Inventory'!B48</f>
        <v>3. Transportation Phase</v>
      </c>
      <c r="C52" s="324"/>
      <c r="D52" s="324"/>
      <c r="E52" s="324"/>
      <c r="F52" s="324"/>
      <c r="G52" s="324"/>
      <c r="H52" s="324"/>
      <c r="I52" s="324"/>
    </row>
    <row r="53" spans="1:9" ht="30.5" customHeight="1" x14ac:dyDescent="0.35">
      <c r="B53" s="329" t="str">
        <f>'Annual (or) Project Inventory'!B49</f>
        <v xml:space="preserve">Includes data on the transportation of raw materials, intermediate goods, and finished products, capturing distances, modes of transport, and fuel types. Fill the data in relation to the Functional Unit (FU) selected. </v>
      </c>
      <c r="C53" s="329"/>
      <c r="D53" s="329"/>
      <c r="E53" s="329"/>
      <c r="F53" s="329"/>
      <c r="G53" s="329"/>
      <c r="H53" s="329"/>
    </row>
    <row r="54" spans="1:9" s="16" customFormat="1" ht="25" customHeight="1" x14ac:dyDescent="0.35">
      <c r="A54" s="109"/>
      <c r="B54" s="24" t="s">
        <v>21</v>
      </c>
      <c r="C54" s="24" t="s">
        <v>383</v>
      </c>
      <c r="D54" s="24" t="s">
        <v>42</v>
      </c>
      <c r="E54" s="24" t="s">
        <v>381</v>
      </c>
      <c r="F54" s="35" t="s">
        <v>397</v>
      </c>
      <c r="G54" s="25" t="s">
        <v>44</v>
      </c>
      <c r="H54" s="24" t="s">
        <v>45</v>
      </c>
      <c r="I54" s="24" t="s">
        <v>379</v>
      </c>
    </row>
    <row r="55" spans="1:9" ht="25" customHeight="1" x14ac:dyDescent="0.35">
      <c r="B55" s="30" t="s">
        <v>664</v>
      </c>
      <c r="C55" s="74" t="str">
        <f>'Annual (or) Project Inventory'!C51</f>
        <v>Select Vehicle Category</v>
      </c>
      <c r="D55" s="83" t="str">
        <f>'Annual (or) Project Inventory'!D51</f>
        <v>Select Vehicle Type</v>
      </c>
      <c r="E55" s="84" t="str">
        <f>'Annual (or) Project Inventory'!E51</f>
        <v>Select Fuel Type</v>
      </c>
      <c r="F55" s="58" cm="1">
        <f t="array" ref="F55">IFERROR(
  INDEX(
    Transport_table[Emission factors],
    MATCH(
      1,
      (Transport_table[Vehicle Type]=D55) *
      (Transport_table[Fuel Type]=E55),
      0
    )
  ) * 'Annual (or) Project Inventory'!F51*0.001,
""
)</f>
        <v>0</v>
      </c>
      <c r="G55" s="45" t="str">
        <f>"kg-CO₂ eq/" &amp;$C$8 &amp; " " &amp;$D$8</f>
        <v>kg-CO₂ eq/0 0</v>
      </c>
      <c r="H55" s="85" t="str">
        <f>'Annual (or) Project Inventory'!H51</f>
        <v>Select Ownership</v>
      </c>
      <c r="I55" s="450">
        <f>'Annual (or) Project Inventory'!I51</f>
        <v>0</v>
      </c>
    </row>
    <row r="56" spans="1:9" ht="25" customHeight="1" x14ac:dyDescent="0.35">
      <c r="B56" s="30" t="str">
        <f>'Annual (or) Project Inventory'!B52</f>
        <v>Product Distribution to Suppliers - 0 0</v>
      </c>
      <c r="C56" s="77" t="str">
        <f>'Annual (or) Project Inventory'!C52</f>
        <v>Select Vehicle Category</v>
      </c>
      <c r="D56" s="86" t="str">
        <f>'Annual (or) Project Inventory'!D52</f>
        <v>Select Vehicle Type</v>
      </c>
      <c r="E56" s="87" t="str">
        <f>'Annual (or) Project Inventory'!E52</f>
        <v>Select Fuel Type</v>
      </c>
      <c r="F56" s="58" cm="1">
        <f t="array" ref="F56">IFERROR(
  INDEX(
    Transport_table[Emission factors],
    MATCH(
      1,
      (Transport_table[Vehicle Type]=D56) *
      (Transport_table[Fuel Type]=E56),
      0
    )
  ) * 'Annual (or) Project Inventory'!F52*0.001,
""
)</f>
        <v>0</v>
      </c>
      <c r="G56" s="45" t="str">
        <f t="shared" ref="G56:G59" si="2">"kg-CO₂ eq/" &amp;$C$8 &amp; " " &amp;$D$8</f>
        <v>kg-CO₂ eq/0 0</v>
      </c>
      <c r="H56" s="88" t="str">
        <f>'Annual (or) Project Inventory'!H52</f>
        <v>Select Ownership</v>
      </c>
      <c r="I56" s="451"/>
    </row>
    <row r="57" spans="1:9" ht="25" customHeight="1" x14ac:dyDescent="0.35">
      <c r="B57" s="29" t="str">
        <f>'Annual (or) Project Inventory'!B53</f>
        <v>Add additional transport, if necessary</v>
      </c>
      <c r="C57" s="79" t="str">
        <f>'Annual (or) Project Inventory'!C53</f>
        <v>Select Vehicle Category</v>
      </c>
      <c r="D57" s="86" t="str">
        <f>'Annual (or) Project Inventory'!D53</f>
        <v>Select Vehicle Type</v>
      </c>
      <c r="E57" s="87" t="str">
        <f>'Annual (or) Project Inventory'!E53</f>
        <v>Select Fuel Type</v>
      </c>
      <c r="F57" s="58" cm="1">
        <f t="array" ref="F57">IFERROR(
  INDEX(
    Transport_table[Emission factors],
    MATCH(
      1,
      (Transport_table[Vehicle Type]=D57) *
      (Transport_table[Fuel Type]=E57),
      0
    )
  ) * 'Annual (or) Project Inventory'!F53*0.001,
""
)</f>
        <v>0</v>
      </c>
      <c r="G57" s="45" t="str">
        <f t="shared" si="2"/>
        <v>kg-CO₂ eq/0 0</v>
      </c>
      <c r="H57" s="88" t="str">
        <f>'Annual (or) Project Inventory'!H53</f>
        <v>Select Ownership</v>
      </c>
      <c r="I57" s="451"/>
    </row>
    <row r="58" spans="1:9" ht="25" customHeight="1" x14ac:dyDescent="0.35">
      <c r="B58" s="29" t="str">
        <f>'Annual (or) Project Inventory'!B54</f>
        <v>Add additional transport, if necessary</v>
      </c>
      <c r="C58" s="79" t="str">
        <f>'Annual (or) Project Inventory'!C54</f>
        <v>Select Vehicle Category</v>
      </c>
      <c r="D58" s="89" t="str">
        <f>'Annual (or) Project Inventory'!D54</f>
        <v>Select Vehicle Type</v>
      </c>
      <c r="E58" s="84" t="str">
        <f>'Annual (or) Project Inventory'!E54</f>
        <v>Select Fuel Type</v>
      </c>
      <c r="F58" s="58" cm="1">
        <f t="array" ref="F58">IFERROR(
  INDEX(
    Transport_table[Emission factors],
    MATCH(
      1,
      (Transport_table[Vehicle Type]=D58) *
      (Transport_table[Fuel Type]=E58),
      0
    )
  ) * 'Annual (or) Project Inventory'!F54*0.001,
""
)</f>
        <v>0</v>
      </c>
      <c r="G58" s="45" t="str">
        <f t="shared" si="2"/>
        <v>kg-CO₂ eq/0 0</v>
      </c>
      <c r="H58" s="88" t="str">
        <f>'Annual (or) Project Inventory'!H54</f>
        <v>Select Ownership</v>
      </c>
      <c r="I58" s="451"/>
    </row>
    <row r="59" spans="1:9" ht="25" customHeight="1" x14ac:dyDescent="0.35">
      <c r="B59" s="29" t="str">
        <f>'Annual (or) Project Inventory'!B55</f>
        <v>Add additional transport, if necessary</v>
      </c>
      <c r="C59" s="74" t="str">
        <f>'Annual (or) Project Inventory'!C55</f>
        <v>Select Vehicle Category</v>
      </c>
      <c r="D59" s="89" t="str">
        <f>'Annual (or) Project Inventory'!D55</f>
        <v>Select Vehicle Type</v>
      </c>
      <c r="E59" s="90" t="str">
        <f>'Annual (or) Project Inventory'!E55</f>
        <v>Select Fuel Type</v>
      </c>
      <c r="F59" s="58" cm="1">
        <f t="array" ref="F59">IFERROR(
  INDEX(
    Transport_table[Emission factors],
    MATCH(
      1,
      (Transport_table[Vehicle Type]=D59) *
      (Transport_table[Fuel Type]=E59),
      0
    )
  ) * 'Annual (or) Project Inventory'!F55*0.001,
""
)</f>
        <v>0</v>
      </c>
      <c r="G59" s="45" t="str">
        <f t="shared" si="2"/>
        <v>kg-CO₂ eq/0 0</v>
      </c>
      <c r="H59" s="85" t="str">
        <f>'Annual (or) Project Inventory'!H55</f>
        <v>Select Ownership</v>
      </c>
      <c r="I59" s="452"/>
    </row>
    <row r="60" spans="1:9" ht="25" customHeight="1" x14ac:dyDescent="0.35">
      <c r="B60" s="20"/>
      <c r="G60" s="18"/>
    </row>
    <row r="61" spans="1:9" s="21" customFormat="1" ht="25" customHeight="1" x14ac:dyDescent="0.35">
      <c r="A61" s="109"/>
      <c r="B61" s="456" t="s">
        <v>447</v>
      </c>
      <c r="C61" s="456"/>
      <c r="D61" s="456"/>
      <c r="E61" s="457"/>
      <c r="F61" s="36">
        <f>SUM(F54:F58)</f>
        <v>0</v>
      </c>
      <c r="G61" s="440" t="s">
        <v>654</v>
      </c>
      <c r="H61" s="441"/>
      <c r="I61" s="442"/>
    </row>
    <row r="62" spans="1:9" x14ac:dyDescent="0.35">
      <c r="G62" s="16"/>
      <c r="H62" s="16"/>
    </row>
    <row r="63" spans="1:9" x14ac:dyDescent="0.35">
      <c r="G63" s="16"/>
      <c r="H63" s="16"/>
    </row>
    <row r="64" spans="1:9" ht="30.5" customHeight="1" x14ac:dyDescent="0.35">
      <c r="B64" s="324" t="str">
        <f>'Annual (or) Project Inventory'!B58</f>
        <v>4. End-of-Life (EoL) Treatment Phase</v>
      </c>
      <c r="C64" s="324"/>
      <c r="D64" s="324"/>
      <c r="E64" s="324"/>
      <c r="F64" s="324"/>
      <c r="G64" s="324"/>
      <c r="H64" s="324"/>
      <c r="I64" s="324"/>
    </row>
    <row r="65" spans="1:9" ht="30.5" customHeight="1" x14ac:dyDescent="0.35">
      <c r="B65" s="329" t="str">
        <f>'Annual (or) Project Inventory'!B59</f>
        <v xml:space="preserve">Assesses emissions and impacts associated with the disposal, recycling, recovery, or treatment of the product at the end of its useful life. Fill the data in relation to the Functional Unit (FU) selected. </v>
      </c>
      <c r="C65" s="329"/>
      <c r="D65" s="329"/>
      <c r="E65" s="329"/>
      <c r="F65" s="329"/>
      <c r="G65" s="329"/>
      <c r="H65" s="329"/>
    </row>
    <row r="66" spans="1:9" ht="25" customHeight="1" x14ac:dyDescent="0.35">
      <c r="B66" s="24" t="s">
        <v>21</v>
      </c>
      <c r="C66" s="340" t="s">
        <v>396</v>
      </c>
      <c r="D66" s="340"/>
      <c r="E66" s="27" t="s">
        <v>56</v>
      </c>
      <c r="F66" s="35" t="s">
        <v>397</v>
      </c>
      <c r="G66" s="184" t="s">
        <v>54</v>
      </c>
      <c r="H66" s="425" t="s">
        <v>379</v>
      </c>
      <c r="I66" s="425"/>
    </row>
    <row r="67" spans="1:9" ht="25" customHeight="1" x14ac:dyDescent="0.35">
      <c r="B67" s="46" t="s">
        <v>517</v>
      </c>
      <c r="C67" s="413" t="str">
        <f>'Annual (or) Project Inventory'!C61</f>
        <v>Select Treatment Process</v>
      </c>
      <c r="D67" s="413"/>
      <c r="E67" s="91">
        <f>'Annual (or) Project Inventory'!E61</f>
        <v>0</v>
      </c>
      <c r="F67" s="92" t="str">
        <f>IF('Annual (or) Project Inventory'!F61="n/a","n/a",VLOOKUP(C67,Table5[[Treatment Process]:[CO₂ eq Emission Factor ]],2,FALSE)*'Annual (or) Project Inventory'!F61)</f>
        <v>n/a</v>
      </c>
      <c r="G67" s="45" t="str">
        <f>"kg-CO₂ eq/" &amp;$C$8 &amp; " " &amp;$D$8</f>
        <v>kg-CO₂ eq/0 0</v>
      </c>
      <c r="H67" s="443">
        <f>'Annual (or) Project Inventory'!H61</f>
        <v>0</v>
      </c>
      <c r="I67" s="444"/>
    </row>
    <row r="68" spans="1:9" ht="25" customHeight="1" x14ac:dyDescent="0.35">
      <c r="B68" s="46" t="s">
        <v>517</v>
      </c>
      <c r="C68" s="413" t="str">
        <f>'Annual (or) Project Inventory'!C62</f>
        <v>Select Treatment Process</v>
      </c>
      <c r="D68" s="413"/>
      <c r="E68" s="91">
        <f>'Annual (or) Project Inventory'!E62</f>
        <v>0</v>
      </c>
      <c r="F68" s="92" t="str">
        <f>IF('Annual (or) Project Inventory'!F62="n/a","n/a",VLOOKUP(C68,Table5[[Treatment Process]:[CO₂ eq Emission Factor ]],2,FALSE)*'Annual (or) Project Inventory'!F62)</f>
        <v>n/a</v>
      </c>
      <c r="G68" s="45" t="str">
        <f t="shared" ref="G68:G70" si="3">"kg-CO₂ eq/" &amp;$C$8 &amp; " " &amp;$D$8</f>
        <v>kg-CO₂ eq/0 0</v>
      </c>
      <c r="H68" s="445"/>
      <c r="I68" s="446"/>
    </row>
    <row r="69" spans="1:9" ht="25" customHeight="1" x14ac:dyDescent="0.35">
      <c r="B69" s="46" t="s">
        <v>517</v>
      </c>
      <c r="C69" s="413" t="str">
        <f>'Annual (or) Project Inventory'!C63</f>
        <v>Select Treatment Process</v>
      </c>
      <c r="D69" s="413"/>
      <c r="E69" s="91">
        <f>'Annual (or) Project Inventory'!E63</f>
        <v>0</v>
      </c>
      <c r="F69" s="92" t="str">
        <f>IF('Annual (or) Project Inventory'!F63="n/a","n/a",VLOOKUP(C69,Table5[[Treatment Process]:[CO₂ eq Emission Factor ]],2,FALSE)*'Annual (or) Project Inventory'!F63)</f>
        <v>n/a</v>
      </c>
      <c r="G69" s="45" t="str">
        <f t="shared" si="3"/>
        <v>kg-CO₂ eq/0 0</v>
      </c>
      <c r="H69" s="445"/>
      <c r="I69" s="446"/>
    </row>
    <row r="70" spans="1:9" ht="25" customHeight="1" x14ac:dyDescent="0.35">
      <c r="B70" s="46" t="s">
        <v>517</v>
      </c>
      <c r="C70" s="413" t="str">
        <f>'Annual (or) Project Inventory'!C64</f>
        <v>Select Treatment Process</v>
      </c>
      <c r="D70" s="413"/>
      <c r="E70" s="91">
        <f>'Annual (or) Project Inventory'!E64</f>
        <v>0</v>
      </c>
      <c r="F70" s="62" t="str">
        <f>IF('Annual (or) Project Inventory'!F64="n/a","n/a",VLOOKUP(C70,Table5[[Treatment Process]:[CO₂ eq Emission Factor ]],2,FALSE)*'Annual (or) Project Inventory'!F64)</f>
        <v>n/a</v>
      </c>
      <c r="G70" s="45" t="str">
        <f t="shared" si="3"/>
        <v>kg-CO₂ eq/0 0</v>
      </c>
      <c r="H70" s="447"/>
      <c r="I70" s="448"/>
    </row>
    <row r="71" spans="1:9" ht="25" customHeight="1" x14ac:dyDescent="0.35">
      <c r="E71" s="61"/>
      <c r="G71" s="18"/>
      <c r="H71" s="16"/>
    </row>
    <row r="72" spans="1:9" s="21" customFormat="1" ht="25" customHeight="1" x14ac:dyDescent="0.35">
      <c r="A72" s="109"/>
      <c r="B72" s="449" t="s">
        <v>453</v>
      </c>
      <c r="C72" s="449"/>
      <c r="D72" s="449"/>
      <c r="E72" s="93">
        <f>'Baseline Inventory'!E62</f>
        <v>0</v>
      </c>
      <c r="F72" s="138" t="str">
        <f>IF('Project Description'!$C$20="Cradle-to-Grave",SUM(F67:F70),"n/a")</f>
        <v>n/a</v>
      </c>
      <c r="G72" s="440" t="s">
        <v>654</v>
      </c>
      <c r="H72" s="441"/>
      <c r="I72" s="442"/>
    </row>
    <row r="73" spans="1:9" ht="25" customHeight="1" x14ac:dyDescent="0.35"/>
    <row r="74" spans="1:9" ht="25" customHeight="1" x14ac:dyDescent="0.35"/>
    <row r="75" spans="1:9" s="21" customFormat="1" ht="25" customHeight="1" x14ac:dyDescent="0.35">
      <c r="A75" s="109"/>
      <c r="B75" s="449" t="str">
        <f>IF('Project Description'!$C$19="Annual Reporting", "Total Annual Emissions", "Total Project Level Emissions")</f>
        <v>Total Project Level Emissions</v>
      </c>
      <c r="C75" s="449"/>
      <c r="D75" s="449"/>
      <c r="E75" s="455"/>
      <c r="F75" s="72" t="e">
        <f>SUM(F72,F61,F49,F31)</f>
        <v>#VALUE!</v>
      </c>
      <c r="G75" s="440" t="s">
        <v>654</v>
      </c>
      <c r="H75" s="441"/>
      <c r="I75" s="442"/>
    </row>
  </sheetData>
  <sheetProtection algorithmName="SHA-512" hashValue="w5nMq4f68tI5sLWbXmtMI4qRMa6cQ4262lmXHmggyGne4ie7Wy5aYGqj20hBVfuxfLRign5BISyi+eI2okwJSw==" saltValue="CBpEwPdSlhyOfsWWDA9zmA==" spinCount="100000" sheet="1" objects="1" scenarios="1"/>
  <mergeCells count="65">
    <mergeCell ref="H35:I35"/>
    <mergeCell ref="H38:I38"/>
    <mergeCell ref="B35:E35"/>
    <mergeCell ref="B36:E36"/>
    <mergeCell ref="C38:D38"/>
    <mergeCell ref="H36:I36"/>
    <mergeCell ref="B3:H3"/>
    <mergeCell ref="C12:D12"/>
    <mergeCell ref="B13:B27"/>
    <mergeCell ref="C13:D13"/>
    <mergeCell ref="C47:E47"/>
    <mergeCell ref="C46:E46"/>
    <mergeCell ref="C20:D20"/>
    <mergeCell ref="C21:D21"/>
    <mergeCell ref="B28:E28"/>
    <mergeCell ref="C14:D14"/>
    <mergeCell ref="C15:D15"/>
    <mergeCell ref="C22:D22"/>
    <mergeCell ref="C16:D16"/>
    <mergeCell ref="C17:D17"/>
    <mergeCell ref="C18:D18"/>
    <mergeCell ref="C26:D26"/>
    <mergeCell ref="C27:D27"/>
    <mergeCell ref="C19:D19"/>
    <mergeCell ref="C23:D23"/>
    <mergeCell ref="C24:D24"/>
    <mergeCell ref="C25:D25"/>
    <mergeCell ref="C70:D70"/>
    <mergeCell ref="B53:H53"/>
    <mergeCell ref="C39:D39"/>
    <mergeCell ref="C40:D40"/>
    <mergeCell ref="B64:I64"/>
    <mergeCell ref="C66:D66"/>
    <mergeCell ref="B2:I2"/>
    <mergeCell ref="B1:I1"/>
    <mergeCell ref="B11:I11"/>
    <mergeCell ref="C67:D67"/>
    <mergeCell ref="C68:D68"/>
    <mergeCell ref="H66:I66"/>
    <mergeCell ref="H67:I70"/>
    <mergeCell ref="B31:E31"/>
    <mergeCell ref="B49:E49"/>
    <mergeCell ref="B61:E61"/>
    <mergeCell ref="B65:H65"/>
    <mergeCell ref="B39:B44"/>
    <mergeCell ref="C41:D41"/>
    <mergeCell ref="C42:D42"/>
    <mergeCell ref="C43:D43"/>
    <mergeCell ref="C44:D44"/>
    <mergeCell ref="G72:I72"/>
    <mergeCell ref="G75:I75"/>
    <mergeCell ref="H12:I12"/>
    <mergeCell ref="H13:I28"/>
    <mergeCell ref="B10:I10"/>
    <mergeCell ref="B72:D72"/>
    <mergeCell ref="I55:I59"/>
    <mergeCell ref="H39:I43"/>
    <mergeCell ref="H46:I46"/>
    <mergeCell ref="H47:I47"/>
    <mergeCell ref="G31:I31"/>
    <mergeCell ref="G49:I49"/>
    <mergeCell ref="B52:I52"/>
    <mergeCell ref="G61:I61"/>
    <mergeCell ref="C69:D69"/>
    <mergeCell ref="B75:E75"/>
  </mergeCells>
  <dataValidations disablePrompts="1" count="1">
    <dataValidation type="list" allowBlank="1" showInputMessage="1" showErrorMessage="1" sqref="H6" xr:uid="{8F830B1E-C2A3-449D-9FB8-564D5D76FD10}">
      <formula1>"Dropdown Cells"</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1C03F-3644-432F-9F1C-2CAC170CF4F4}">
  <sheetPr codeName="Sheet14">
    <tabColor theme="9" tint="0.39997558519241921"/>
  </sheetPr>
  <dimension ref="A1:H43"/>
  <sheetViews>
    <sheetView showGridLines="0" zoomScale="40" zoomScaleNormal="40" workbookViewId="0">
      <selection activeCell="C28" sqref="C28"/>
    </sheetView>
  </sheetViews>
  <sheetFormatPr defaultRowHeight="18" x14ac:dyDescent="0.35"/>
  <cols>
    <col min="1" max="1" width="9.1796875" style="109" customWidth="1"/>
    <col min="2" max="2" width="58.90625" style="14" customWidth="1"/>
    <col min="3" max="3" width="95.1796875" style="99" customWidth="1"/>
    <col min="4" max="4" width="45.453125" style="16" customWidth="1"/>
    <col min="5" max="5" width="47.1796875" style="16" customWidth="1"/>
    <col min="6" max="6" width="50.08984375" style="33" customWidth="1"/>
    <col min="7" max="7" width="38.6328125" style="14" customWidth="1"/>
    <col min="8" max="8" width="50.1796875" style="14" customWidth="1"/>
    <col min="9" max="16384" width="8.7265625" style="14"/>
  </cols>
  <sheetData>
    <row r="1" spans="1:8" ht="73" customHeight="1" x14ac:dyDescent="0.35">
      <c r="B1" s="331" t="s">
        <v>561</v>
      </c>
      <c r="C1" s="331"/>
      <c r="D1" s="331"/>
      <c r="E1" s="331"/>
      <c r="F1" s="331"/>
      <c r="G1" s="331"/>
      <c r="H1" s="331"/>
    </row>
    <row r="2" spans="1:8" ht="22.5" customHeight="1" x14ac:dyDescent="0.35">
      <c r="B2" s="357" t="s">
        <v>668</v>
      </c>
      <c r="C2" s="357"/>
      <c r="D2" s="357"/>
      <c r="E2" s="357"/>
      <c r="F2" s="357"/>
      <c r="G2" s="357"/>
      <c r="H2" s="357"/>
    </row>
    <row r="3" spans="1:8" ht="20.5" customHeight="1" x14ac:dyDescent="0.35">
      <c r="A3" s="181"/>
      <c r="B3" s="384" t="str">
        <f>'About this tool'!C51</f>
        <v xml:space="preserve">This sheet consolidates and summarises GHG emissions results for both the baseline and project scenarios. It highlights absolute emissions, emissions reductions or avoidance, and key comparative indicators. </v>
      </c>
      <c r="C3" s="384"/>
      <c r="D3" s="384"/>
      <c r="E3" s="384"/>
      <c r="F3" s="384"/>
      <c r="G3" s="384"/>
      <c r="H3" s="384"/>
    </row>
    <row r="5" spans="1:8" ht="66" customHeight="1" x14ac:dyDescent="0.35">
      <c r="A5" s="14"/>
      <c r="B5" s="26" t="str">
        <f>'Project Description'!B19</f>
        <v>Scope</v>
      </c>
      <c r="C5" s="215" t="str">
        <f>'Project Description'!C19</f>
        <v>Select Scope</v>
      </c>
      <c r="D5" s="475" t="str">
        <f>IF(C5="Annual Reporting", "For Annual Reporting, Please use this Annual Reporting Results", "For Baseline Project Level Reporting, Please check the next sheet for Baseline Project Level Reporting Results")</f>
        <v>For Baseline Project Level Reporting, Please check the next sheet for Baseline Project Level Reporting Results</v>
      </c>
      <c r="E5" s="476"/>
      <c r="F5" s="209" t="s">
        <v>579</v>
      </c>
      <c r="G5" s="114" t="s">
        <v>582</v>
      </c>
    </row>
    <row r="6" spans="1:8" ht="49.5" customHeight="1" x14ac:dyDescent="0.35">
      <c r="A6" s="14"/>
      <c r="B6" s="26" t="str">
        <f>'Project Description'!B20</f>
        <v>System Boundary</v>
      </c>
      <c r="C6" s="98" t="str">
        <f>'Project Description'!C20</f>
        <v>Select Boundary</v>
      </c>
      <c r="D6" s="14"/>
      <c r="E6" s="99"/>
      <c r="F6" s="56" t="s">
        <v>583</v>
      </c>
      <c r="G6" s="107" t="s">
        <v>580</v>
      </c>
    </row>
    <row r="7" spans="1:8" ht="49.5" customHeight="1" x14ac:dyDescent="0.35">
      <c r="A7" s="14"/>
      <c r="B7" s="26" t="str">
        <f>'Project Description'!E11</f>
        <v>Base Year</v>
      </c>
      <c r="C7" s="98" t="str">
        <f>'Project Description'!F11</f>
        <v>Please Select Year</v>
      </c>
      <c r="D7" s="14"/>
      <c r="E7" s="99"/>
      <c r="F7" s="210" t="s">
        <v>581</v>
      </c>
      <c r="G7" s="18"/>
    </row>
    <row r="8" spans="1:8" ht="49.5" customHeight="1" x14ac:dyDescent="0.35">
      <c r="A8" s="14"/>
      <c r="B8" s="26" t="str">
        <f>'Project Description'!E12</f>
        <v xml:space="preserve">Reporting/Target Year </v>
      </c>
      <c r="C8" s="98" t="str">
        <f>'Project Description'!F12</f>
        <v>Please Select Year</v>
      </c>
      <c r="D8" s="14"/>
      <c r="E8" s="99"/>
    </row>
    <row r="9" spans="1:8" ht="25" customHeight="1" x14ac:dyDescent="0.35">
      <c r="A9" s="14"/>
      <c r="B9" s="101"/>
      <c r="C9" s="16"/>
      <c r="D9" s="99"/>
      <c r="E9" s="99"/>
    </row>
    <row r="10" spans="1:8" ht="32" customHeight="1" x14ac:dyDescent="0.35">
      <c r="A10" s="14"/>
      <c r="B10" s="362" t="s">
        <v>64</v>
      </c>
      <c r="C10" s="363"/>
      <c r="D10" s="200" t="str">
        <f>'Project Description'!F19</f>
        <v>Quantity</v>
      </c>
      <c r="E10" s="102" t="str">
        <f>'Project Description'!G19</f>
        <v>Unit</v>
      </c>
      <c r="F10" s="248"/>
    </row>
    <row r="11" spans="1:8" ht="32" customHeight="1" x14ac:dyDescent="0.35">
      <c r="A11" s="14"/>
      <c r="B11" s="362" t="str">
        <f>IF('Project Description'!$C$19="Annual Reporting","Annual Emissions","Project-level Emissions")</f>
        <v>Project-level Emissions</v>
      </c>
      <c r="C11" s="363"/>
      <c r="D11" s="201">
        <f>'Annual (or) Project Emissions'!C8</f>
        <v>0</v>
      </c>
      <c r="E11" s="103">
        <f>'Annual (or) Project Emissions'!D8</f>
        <v>0</v>
      </c>
      <c r="F11" s="199"/>
    </row>
    <row r="12" spans="1:8" ht="32" customHeight="1" x14ac:dyDescent="0.35">
      <c r="A12" s="14"/>
      <c r="C12" s="188"/>
      <c r="D12" s="14"/>
    </row>
    <row r="13" spans="1:8" ht="32" customHeight="1" x14ac:dyDescent="0.35">
      <c r="A13" s="14"/>
      <c r="B13" s="142" t="s">
        <v>594</v>
      </c>
      <c r="C13" s="142"/>
      <c r="D13" s="142"/>
      <c r="E13" s="142"/>
    </row>
    <row r="14" spans="1:8" ht="32" customHeight="1" x14ac:dyDescent="0.35">
      <c r="A14" s="14"/>
      <c r="B14" s="137"/>
      <c r="C14" s="137"/>
      <c r="D14" s="137"/>
    </row>
    <row r="15" spans="1:8" ht="32" customHeight="1" x14ac:dyDescent="0.35">
      <c r="A15" s="14"/>
      <c r="B15" s="362" t="s">
        <v>455</v>
      </c>
      <c r="C15" s="363"/>
      <c r="D15" s="200" t="s">
        <v>698</v>
      </c>
      <c r="E15" s="25" t="s">
        <v>456</v>
      </c>
      <c r="F15" s="73"/>
    </row>
    <row r="16" spans="1:8" ht="32" customHeight="1" x14ac:dyDescent="0.35">
      <c r="A16" s="14"/>
      <c r="B16" s="362" t="str">
        <f>'Annual (or) Project Emissions'!B75</f>
        <v>Total Project Level Emissions</v>
      </c>
      <c r="C16" s="363"/>
      <c r="D16" s="196" t="e">
        <f>D41</f>
        <v>#VALUE!</v>
      </c>
      <c r="E16" s="98" t="str">
        <f>'Annual (or) Project Emissions'!G75</f>
        <v>kg-CO₂ eq/1 kg-SB straw</v>
      </c>
      <c r="F16" s="73"/>
    </row>
    <row r="17" spans="1:6" ht="32" customHeight="1" x14ac:dyDescent="0.35">
      <c r="A17" s="14"/>
      <c r="B17" s="21"/>
      <c r="C17" s="16"/>
      <c r="E17" s="17"/>
    </row>
    <row r="18" spans="1:6" ht="32" customHeight="1" x14ac:dyDescent="0.35">
      <c r="A18" s="14"/>
      <c r="B18" s="142" t="s">
        <v>594</v>
      </c>
      <c r="C18" s="142"/>
      <c r="D18" s="142"/>
      <c r="E18" s="142"/>
      <c r="F18" s="142"/>
    </row>
    <row r="19" spans="1:6" ht="32" customHeight="1" x14ac:dyDescent="0.35">
      <c r="A19" s="14"/>
      <c r="B19" s="137"/>
      <c r="C19" s="137"/>
      <c r="D19" s="137"/>
      <c r="E19" s="99"/>
    </row>
    <row r="20" spans="1:6" ht="32" customHeight="1" x14ac:dyDescent="0.35">
      <c r="A20" s="14"/>
      <c r="B20" s="27" t="s">
        <v>655</v>
      </c>
      <c r="C20" s="24" t="s">
        <v>662</v>
      </c>
      <c r="D20" s="200" t="s">
        <v>698</v>
      </c>
      <c r="E20" s="25" t="s">
        <v>456</v>
      </c>
      <c r="F20" s="68" t="s">
        <v>667</v>
      </c>
    </row>
    <row r="21" spans="1:6" ht="32" customHeight="1" x14ac:dyDescent="0.35">
      <c r="A21" s="14"/>
      <c r="B21" s="249" t="str">
        <f>'Annual (or) Project Emissions'!B10</f>
        <v>1. Raw Material (RM) Extraction &amp; Use Phase</v>
      </c>
      <c r="C21" s="123" t="s">
        <v>659</v>
      </c>
      <c r="D21" s="190">
        <f>IF($C$5="Baseline Project Level Reporting", "-",'Annual (or) Project Emissions'!F28)</f>
        <v>0</v>
      </c>
      <c r="E21" s="190" t="str">
        <f>'Annual (or) Project Emissions'!G28</f>
        <v>kg-CO₂ eq/0 0</v>
      </c>
      <c r="F21" s="450" t="str">
        <f>'Annual (or) Project Emissions'!H13 &amp; CHAR(10) &amp; CHAR(10) &amp; 'Annual (or) Project Emissions'!H47</f>
        <v>3 kg dry leaves are used for making 1 kg Sunbird Straws
0</v>
      </c>
    </row>
    <row r="22" spans="1:6" ht="32" customHeight="1" x14ac:dyDescent="0.35">
      <c r="A22" s="14"/>
      <c r="B22" s="249"/>
      <c r="C22" s="123" t="str">
        <f>"Water Used - " &amp;'Annual (or) Project Emissions'!C47</f>
        <v>Water Used - Select Water Type</v>
      </c>
      <c r="D22" s="190" t="e">
        <f>IF($C$5="Baseline Project Level Reporting","-",IF('Annual (or) Project Emissions'!F47=0,"-",'Annual (or) Project Emissions'!F47))</f>
        <v>#VALUE!</v>
      </c>
      <c r="E22" s="190" t="str">
        <f>'Annual (or) Project Emissions'!G47</f>
        <v>kg-CO₂ eq/0 0</v>
      </c>
      <c r="F22" s="451"/>
    </row>
    <row r="23" spans="1:6" ht="32" customHeight="1" x14ac:dyDescent="0.35">
      <c r="A23" s="14"/>
      <c r="B23" s="249"/>
      <c r="C23" s="94" t="s">
        <v>24</v>
      </c>
      <c r="D23" s="190">
        <f>IF($C$5="Baseline Project Level Reporting", "-",'Annual (or) Project Emissions'!F31)</f>
        <v>0</v>
      </c>
      <c r="E23" s="190" t="str">
        <f>'Annual (or) Project Emissions'!G31</f>
        <v>kg-CO₂ eq/1 kg-SB straw</v>
      </c>
      <c r="F23" s="452"/>
    </row>
    <row r="24" spans="1:6" ht="32" customHeight="1" x14ac:dyDescent="0.35">
      <c r="A24" s="14"/>
      <c r="B24" s="249" t="str">
        <f>'Annual (or) Project Emissions'!B33</f>
        <v xml:space="preserve">2. Manufacturing Phase - Energy Use </v>
      </c>
      <c r="C24" s="123" t="str">
        <f>'Annual (or) Project Emissions'!C39 &amp; " - " &amp; TEXT('Annual (or) Project Emissions'!E39,"0%")</f>
        <v>Select Power Source - 0%</v>
      </c>
      <c r="D24" s="190">
        <f>IF($C$5="Baseline Project Level Reporting", "-",'Annual (or) Project Emissions'!F39)</f>
        <v>0</v>
      </c>
      <c r="E24" s="190" t="str">
        <f>'Annual (or) Project Emissions'!G39</f>
        <v>kg-CO₂ eq/0 0</v>
      </c>
      <c r="F24" s="450" t="str">
        <f>'Annual (or) Project Emissions'!H39 &amp; CHAR(10) &amp; CHAR(10) &amp; 'Annual (or) Project Emissions'!H36</f>
        <v>0
0</v>
      </c>
    </row>
    <row r="25" spans="1:6" ht="32" customHeight="1" x14ac:dyDescent="0.35">
      <c r="A25" s="14"/>
      <c r="B25" s="249"/>
      <c r="C25" s="123" t="str">
        <f>'Annual (or) Project Emissions'!C40 &amp; " - " &amp; TEXT('Annual (or) Project Emissions'!E40,"0%")</f>
        <v>Select Power Source - 0%</v>
      </c>
      <c r="D25" s="190">
        <f>IF($C$5="Baseline Project Level Reporting", "-",'Annual (or) Project Emissions'!F40)</f>
        <v>0</v>
      </c>
      <c r="E25" s="190" t="str">
        <f>'Annual (or) Project Emissions'!G40</f>
        <v>kg-CO₂ eq/0 0</v>
      </c>
      <c r="F25" s="451"/>
    </row>
    <row r="26" spans="1:6" ht="32" customHeight="1" x14ac:dyDescent="0.35">
      <c r="A26" s="14"/>
      <c r="B26" s="249"/>
      <c r="C26" s="123" t="str">
        <f>'Annual (or) Project Emissions'!C41 &amp; " - " &amp; TEXT('Annual (or) Project Emissions'!E41,"0%")</f>
        <v>Select Power Source - 0%</v>
      </c>
      <c r="D26" s="190">
        <f>IF($C$5="Baseline Project Level Reporting", "-",'Annual (or) Project Emissions'!F41)</f>
        <v>0</v>
      </c>
      <c r="E26" s="190" t="str">
        <f>'Annual (or) Project Emissions'!G41</f>
        <v>kg-CO₂ eq/0 0</v>
      </c>
      <c r="F26" s="451"/>
    </row>
    <row r="27" spans="1:6" ht="32" customHeight="1" x14ac:dyDescent="0.35">
      <c r="A27" s="14"/>
      <c r="B27" s="249"/>
      <c r="C27" s="123" t="str">
        <f>'Annual (or) Project Emissions'!C42 &amp; " - " &amp; TEXT('Annual (or) Project Emissions'!E42,"0%")</f>
        <v>Select Power Source - 0%</v>
      </c>
      <c r="D27" s="190">
        <f>IF($C$5="Baseline Project Level Reporting", "-",'Annual (or) Project Emissions'!F42)</f>
        <v>0</v>
      </c>
      <c r="E27" s="190" t="str">
        <f>'Annual (or) Project Emissions'!G42</f>
        <v>kg-CO₂ eq/0 0</v>
      </c>
      <c r="F27" s="451"/>
    </row>
    <row r="28" spans="1:6" ht="32" customHeight="1" x14ac:dyDescent="0.35">
      <c r="A28" s="14"/>
      <c r="B28" s="249"/>
      <c r="C28" s="123" t="str">
        <f>'Annual (or) Project Emissions'!C43 &amp; " - " &amp; TEXT('Annual (or) Project Emissions'!E43,"0%")</f>
        <v>Select Power Source - 0%</v>
      </c>
      <c r="D28" s="190">
        <f>IF($C$5="Baseline Project Level Reporting", "-",'Annual (or) Project Emissions'!F43)</f>
        <v>0</v>
      </c>
      <c r="E28" s="190" t="str">
        <f>'Annual (or) Project Emissions'!G43</f>
        <v>kg-CO₂ eq/0 0</v>
      </c>
      <c r="F28" s="451"/>
    </row>
    <row r="29" spans="1:6" ht="32" customHeight="1" x14ac:dyDescent="0.35">
      <c r="A29" s="14"/>
      <c r="B29" s="249"/>
      <c r="C29" s="94" t="s">
        <v>24</v>
      </c>
      <c r="D29" s="190" t="e">
        <f>IF($C$5="Baseline Project Level Reporting", "-",'Annual (or) Project Emissions'!F49)</f>
        <v>#VALUE!</v>
      </c>
      <c r="E29" s="190" t="str">
        <f>'Annual (or) Project Emissions'!G49</f>
        <v>kg-CO₂ eq/1 kg-SB straw</v>
      </c>
      <c r="F29" s="452"/>
    </row>
    <row r="30" spans="1:6" ht="32" customHeight="1" x14ac:dyDescent="0.35">
      <c r="A30" s="14"/>
      <c r="B30" s="249" t="str">
        <f>'Annual (or) Project Emissions'!B52</f>
        <v>3. Transportation Phase</v>
      </c>
      <c r="C30" s="123" t="str">
        <f xml:space="preserve"> 'Annual (or) Project Emissions'!B55 &amp; " - " &amp; 'Annual (or) Project Emissions'!D55 &amp;" - " &amp;'Annual (or) Project Emissions'!E55</f>
        <v>RM Sourcing - Select Vehicle Type - Select Fuel Type</v>
      </c>
      <c r="D30" s="190" t="str">
        <f>IF($C$5="Baseline Project Level Reporting","-",IF('Annual (or) Project Emissions'!F55=0,"-",'Annual (or) Project Emissions'!F55))</f>
        <v>-</v>
      </c>
      <c r="E30" s="190" t="str">
        <f>'Annual (or) Project Emissions'!G55</f>
        <v>kg-CO₂ eq/0 0</v>
      </c>
      <c r="F30" s="450">
        <f>'Annual (or) Project Emissions'!I55</f>
        <v>0</v>
      </c>
    </row>
    <row r="31" spans="1:6" ht="32" customHeight="1" x14ac:dyDescent="0.35">
      <c r="A31" s="14"/>
      <c r="B31" s="249"/>
      <c r="C31" s="123" t="str">
        <f xml:space="preserve"> 'Annual (or) Project Emissions'!B56 &amp; " - " &amp; 'Annual (or) Project Emissions'!D56 &amp;" - " &amp;'Annual (or) Project Emissions'!E56</f>
        <v>Product Distribution to Suppliers - 0 0 - Select Vehicle Type - Select Fuel Type</v>
      </c>
      <c r="D31" s="190" t="str">
        <f>IF($C$5="Baseline Project Level Reporting","-",IF('Annual (or) Project Emissions'!F56=0,"-",'Annual (or) Project Emissions'!F56))</f>
        <v>-</v>
      </c>
      <c r="E31" s="190" t="str">
        <f>'Annual (or) Project Emissions'!G56</f>
        <v>kg-CO₂ eq/0 0</v>
      </c>
      <c r="F31" s="451"/>
    </row>
    <row r="32" spans="1:6" ht="32" customHeight="1" x14ac:dyDescent="0.35">
      <c r="A32" s="181"/>
      <c r="B32" s="249"/>
      <c r="C32" s="123" t="str">
        <f xml:space="preserve"> 'Annual (or) Project Emissions'!B57 &amp; " - " &amp; 'Annual (or) Project Emissions'!D57 &amp;" - " &amp;'Annual (or) Project Emissions'!E57</f>
        <v>Add additional transport, if necessary - Select Vehicle Type - Select Fuel Type</v>
      </c>
      <c r="D32" s="190" t="str">
        <f>IF($C$5="Baseline Project Level Reporting","-",IF('Annual (or) Project Emissions'!F57=0,"-",'Annual (or) Project Emissions'!F57))</f>
        <v>-</v>
      </c>
      <c r="E32" s="190" t="str">
        <f>'Annual (or) Project Emissions'!G57</f>
        <v>kg-CO₂ eq/0 0</v>
      </c>
      <c r="F32" s="451"/>
    </row>
    <row r="33" spans="1:6" ht="32" customHeight="1" x14ac:dyDescent="0.35">
      <c r="A33" s="14"/>
      <c r="B33" s="249"/>
      <c r="C33" s="123" t="str">
        <f xml:space="preserve"> 'Annual (or) Project Emissions'!B58 &amp; " - " &amp; 'Annual (or) Project Emissions'!D58 &amp;" - " &amp;'Annual (or) Project Emissions'!E58</f>
        <v>Add additional transport, if necessary - Select Vehicle Type - Select Fuel Type</v>
      </c>
      <c r="D33" s="190" t="str">
        <f>IF($C$5="Baseline Project Level Reporting","-",IF('Annual (or) Project Emissions'!F58=0,"-",'Annual (or) Project Emissions'!F58))</f>
        <v>-</v>
      </c>
      <c r="E33" s="190" t="str">
        <f>'Annual (or) Project Emissions'!G58</f>
        <v>kg-CO₂ eq/0 0</v>
      </c>
      <c r="F33" s="451"/>
    </row>
    <row r="34" spans="1:6" ht="32" customHeight="1" x14ac:dyDescent="0.35">
      <c r="A34" s="14"/>
      <c r="B34" s="249"/>
      <c r="C34" s="123" t="str">
        <f xml:space="preserve"> 'Annual (or) Project Emissions'!B59 &amp; " - " &amp; 'Annual (or) Project Emissions'!D59 &amp;" - " &amp;'Annual (or) Project Emissions'!E59</f>
        <v>Add additional transport, if necessary - Select Vehicle Type - Select Fuel Type</v>
      </c>
      <c r="D34" s="190" t="str">
        <f>IF($C$5="Baseline Project Level Reporting","-",IF('Annual (or) Project Emissions'!F59=0,"-",'Annual (or) Project Emissions'!F59))</f>
        <v>-</v>
      </c>
      <c r="E34" s="190" t="str">
        <f>'Annual (or) Project Emissions'!G59</f>
        <v>kg-CO₂ eq/0 0</v>
      </c>
      <c r="F34" s="451"/>
    </row>
    <row r="35" spans="1:6" ht="32" customHeight="1" x14ac:dyDescent="0.35">
      <c r="A35" s="14"/>
      <c r="B35" s="249"/>
      <c r="C35" s="94" t="s">
        <v>24</v>
      </c>
      <c r="D35" s="190">
        <f>IF($C$5="Baseline Project Level Reporting", "-",'Annual (or) Project Emissions'!F61)</f>
        <v>0</v>
      </c>
      <c r="E35" s="190" t="str">
        <f>'Annual (or) Project Emissions'!G61</f>
        <v>kg-CO₂ eq/1 kg-SB straw</v>
      </c>
      <c r="F35" s="452"/>
    </row>
    <row r="36" spans="1:6" ht="32" customHeight="1" x14ac:dyDescent="0.35">
      <c r="A36" s="14"/>
      <c r="B36" s="28" t="str">
        <f>'Annual (or) Project Emissions'!B64</f>
        <v>4. End-of-Life (EoL) Treatment Phase</v>
      </c>
      <c r="C36" s="123" t="str">
        <f>'Annual (or) Project Emissions'!C67 &amp; " - " &amp; TEXT('Annual (or) Project Emissions'!E67,"0%")</f>
        <v>Select Treatment Process - 0%</v>
      </c>
      <c r="D36" s="190" t="str">
        <f>IF($C$5="Baseline Project Level Reporting","-",IF('Annual (or) Project Emissions'!F67=0,"-",'Annual (or) Project Emissions'!F67))</f>
        <v>n/a</v>
      </c>
      <c r="E36" s="103" t="str">
        <f>'Annual (or) Project Emissions'!G67</f>
        <v>kg-CO₂ eq/0 0</v>
      </c>
      <c r="F36" s="450">
        <f>'Annual (or) Project Emissions'!H67</f>
        <v>0</v>
      </c>
    </row>
    <row r="37" spans="1:6" ht="32" customHeight="1" x14ac:dyDescent="0.35">
      <c r="A37" s="14"/>
      <c r="B37" s="28"/>
      <c r="C37" s="123" t="str">
        <f>'Annual (or) Project Emissions'!C68 &amp; " - " &amp; TEXT('Annual (or) Project Emissions'!E68,"0%")</f>
        <v>Select Treatment Process - 0%</v>
      </c>
      <c r="D37" s="190" t="str">
        <f>IF($C$5="Baseline Project Level Reporting","-",IF('Annual (or) Project Emissions'!F68=0,"-",'Annual (or) Project Emissions'!F68))</f>
        <v>n/a</v>
      </c>
      <c r="E37" s="103" t="str">
        <f>'Annual (or) Project Emissions'!G68</f>
        <v>kg-CO₂ eq/0 0</v>
      </c>
      <c r="F37" s="451"/>
    </row>
    <row r="38" spans="1:6" ht="32" customHeight="1" x14ac:dyDescent="0.35">
      <c r="A38" s="14"/>
      <c r="B38" s="28"/>
      <c r="C38" s="123" t="str">
        <f>'Annual (or) Project Emissions'!C69 &amp; " - " &amp; TEXT('Annual (or) Project Emissions'!E69,"0%")</f>
        <v>Select Treatment Process - 0%</v>
      </c>
      <c r="D38" s="190" t="str">
        <f>IF($C$5="Baseline Project Level Reporting","-",IF('Annual (or) Project Emissions'!F69=0,"-",'Annual (or) Project Emissions'!F69))</f>
        <v>n/a</v>
      </c>
      <c r="E38" s="103" t="str">
        <f>'Annual (or) Project Emissions'!G69</f>
        <v>kg-CO₂ eq/0 0</v>
      </c>
      <c r="F38" s="451"/>
    </row>
    <row r="39" spans="1:6" ht="32" customHeight="1" x14ac:dyDescent="0.35">
      <c r="A39" s="14"/>
      <c r="B39" s="28"/>
      <c r="C39" s="123" t="str">
        <f>'Annual (or) Project Emissions'!C70 &amp; " - " &amp; TEXT('Annual (or) Project Emissions'!E70,"0%")</f>
        <v>Select Treatment Process - 0%</v>
      </c>
      <c r="D39" s="190" t="str">
        <f>IF($C$5="Baseline Project Level Reporting","-",IF('Annual (or) Project Emissions'!F70=0,"-",'Annual (or) Project Emissions'!F70))</f>
        <v>n/a</v>
      </c>
      <c r="E39" s="103" t="str">
        <f>'Annual (or) Project Emissions'!G70</f>
        <v>kg-CO₂ eq/0 0</v>
      </c>
      <c r="F39" s="451"/>
    </row>
    <row r="40" spans="1:6" ht="36" customHeight="1" x14ac:dyDescent="0.35">
      <c r="A40" s="14"/>
      <c r="B40" s="28"/>
      <c r="C40" s="94" t="s">
        <v>24</v>
      </c>
      <c r="D40" s="190" t="str">
        <f>IF($C$5="Baseline Project Level Reporting", "-",'Annual (or) Project Emissions'!F72)</f>
        <v>n/a</v>
      </c>
      <c r="E40" s="103" t="str">
        <f>'Annual (or) Project Emissions'!G72</f>
        <v>kg-CO₂ eq/1 kg-SB straw</v>
      </c>
      <c r="F40" s="452"/>
    </row>
    <row r="41" spans="1:6" ht="36" customHeight="1" x14ac:dyDescent="0.35">
      <c r="A41" s="14"/>
      <c r="B41" s="473" t="str">
        <f>'Annual (or) Project Emissions'!B75</f>
        <v>Total Project Level Emissions</v>
      </c>
      <c r="C41" s="474"/>
      <c r="D41" s="192" t="e">
        <f>IF($C$5="Baseline Project Level Reporting", "-",'Annual (or) Project Emissions'!F75)</f>
        <v>#VALUE!</v>
      </c>
      <c r="E41" s="471" t="str">
        <f>'Annual (or) Project Emissions'!G75</f>
        <v>kg-CO₂ eq/1 kg-SB straw</v>
      </c>
      <c r="F41" s="472"/>
    </row>
    <row r="42" spans="1:6" ht="18" customHeight="1" x14ac:dyDescent="0.35">
      <c r="A42" s="14"/>
    </row>
    <row r="43" spans="1:6" ht="18" customHeight="1" x14ac:dyDescent="0.35">
      <c r="A43" s="14"/>
    </row>
  </sheetData>
  <sheetProtection algorithmName="SHA-512" hashValue="x/kVE3ZtqG19fWM7IfYOsIsjZMRhF/W42LoBM4YpkWtzGU00rgz/7WnLWf9lR71CgemW+b8Kil4TJNICkdYAFw==" saltValue="2tAiIzPnPygQar+lkDnfcg==" spinCount="100000" sheet="1" scenarios="1" formatColumns="0"/>
  <mergeCells count="14">
    <mergeCell ref="B1:H1"/>
    <mergeCell ref="B2:H2"/>
    <mergeCell ref="B3:H3"/>
    <mergeCell ref="F36:F40"/>
    <mergeCell ref="E41:F41"/>
    <mergeCell ref="B41:C41"/>
    <mergeCell ref="F21:F23"/>
    <mergeCell ref="F24:F29"/>
    <mergeCell ref="F30:F35"/>
    <mergeCell ref="B10:C10"/>
    <mergeCell ref="B11:C11"/>
    <mergeCell ref="B15:C15"/>
    <mergeCell ref="B16:C16"/>
    <mergeCell ref="D5:E5"/>
  </mergeCells>
  <dataValidations disablePrompts="1" count="1">
    <dataValidation type="list" allowBlank="1" showInputMessage="1" showErrorMessage="1" sqref="G6:G7" xr:uid="{98B6F241-02A3-465B-B4E1-4CE2EC0B7D74}">
      <formula1>"Dropdown Cells"</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2A599-5510-4659-A29E-F75FEF451533}">
  <sheetPr codeName="Sheet11">
    <tabColor theme="9" tint="0.39997558519241921"/>
  </sheetPr>
  <dimension ref="A1:H82"/>
  <sheetViews>
    <sheetView showGridLines="0" topLeftCell="A6" zoomScale="40" zoomScaleNormal="40" workbookViewId="0">
      <selection activeCell="F16" sqref="F16"/>
    </sheetView>
  </sheetViews>
  <sheetFormatPr defaultRowHeight="18" x14ac:dyDescent="0.35"/>
  <cols>
    <col min="1" max="1" width="9.1796875" style="109" customWidth="1"/>
    <col min="2" max="2" width="41.7265625" style="14" customWidth="1"/>
    <col min="3" max="3" width="98.6328125" style="191" bestFit="1" customWidth="1"/>
    <col min="4" max="4" width="43.26953125" style="16" customWidth="1"/>
    <col min="5" max="5" width="42.1796875" style="16" bestFit="1" customWidth="1"/>
    <col min="6" max="6" width="84.7265625" style="33" customWidth="1"/>
    <col min="7" max="7" width="49" style="14" customWidth="1"/>
    <col min="8" max="8" width="50.1796875" style="14" customWidth="1"/>
    <col min="9" max="16384" width="8.7265625" style="14"/>
  </cols>
  <sheetData>
    <row r="1" spans="1:8" ht="73" customHeight="1" x14ac:dyDescent="0.35">
      <c r="B1" s="331" t="s">
        <v>561</v>
      </c>
      <c r="C1" s="331"/>
      <c r="D1" s="331"/>
      <c r="E1" s="331"/>
      <c r="F1" s="331"/>
      <c r="G1" s="331"/>
      <c r="H1" s="331"/>
    </row>
    <row r="2" spans="1:8" ht="52.5" customHeight="1" x14ac:dyDescent="0.35">
      <c r="B2" s="352" t="s">
        <v>669</v>
      </c>
      <c r="C2" s="352"/>
      <c r="D2" s="352"/>
      <c r="E2" s="352"/>
      <c r="F2" s="352"/>
      <c r="G2" s="352"/>
      <c r="H2" s="352"/>
    </row>
    <row r="3" spans="1:8" ht="20.5" x14ac:dyDescent="0.35">
      <c r="A3" s="181"/>
      <c r="B3" s="329" t="str">
        <f>'About this tool'!C51</f>
        <v xml:space="preserve">This sheet consolidates and summarises GHG emissions results for both the baseline and project scenarios. It highlights absolute emissions, emissions reductions or avoidance, and key comparative indicators. </v>
      </c>
      <c r="C3" s="329"/>
      <c r="D3" s="329"/>
      <c r="E3" s="329"/>
      <c r="F3" s="329"/>
      <c r="G3" s="329"/>
    </row>
    <row r="5" spans="1:8" ht="66.5" customHeight="1" x14ac:dyDescent="0.35">
      <c r="A5" s="14"/>
      <c r="B5" s="28" t="str">
        <f>'Project Description'!B19</f>
        <v>Scope</v>
      </c>
      <c r="C5" s="294" t="str">
        <f>'Project Description'!C19</f>
        <v>Select Scope</v>
      </c>
      <c r="D5" s="475" t="str">
        <f>IF(C5="Annual Reporting", "For Annual Reporting, Please use the previous sheet for Annual Reporting Results", "For Baseline Project Level Reporting, Please use this sheet for Baseline Project Level Reporting Results")</f>
        <v>For Baseline Project Level Reporting, Please use this sheet for Baseline Project Level Reporting Results</v>
      </c>
      <c r="E5" s="476"/>
      <c r="G5" s="120" t="s">
        <v>579</v>
      </c>
      <c r="H5" s="114" t="s">
        <v>582</v>
      </c>
    </row>
    <row r="6" spans="1:8" ht="36.5" customHeight="1" x14ac:dyDescent="0.35">
      <c r="A6" s="14"/>
      <c r="B6" s="28" t="str">
        <f>'Project Description'!B20</f>
        <v>System Boundary</v>
      </c>
      <c r="C6" s="295" t="str">
        <f>'Project Description'!C20</f>
        <v>Select Boundary</v>
      </c>
      <c r="E6" s="99"/>
      <c r="G6" s="297" t="s">
        <v>583</v>
      </c>
      <c r="H6" s="107" t="s">
        <v>580</v>
      </c>
    </row>
    <row r="7" spans="1:8" ht="36.5" customHeight="1" x14ac:dyDescent="0.35">
      <c r="A7" s="14"/>
      <c r="B7" s="28" t="str">
        <f>'Project Description'!E11</f>
        <v>Base Year</v>
      </c>
      <c r="C7" s="295" t="str">
        <f>'Project Description'!F11</f>
        <v>Please Select Year</v>
      </c>
      <c r="E7" s="99"/>
      <c r="G7" s="210" t="s">
        <v>581</v>
      </c>
    </row>
    <row r="8" spans="1:8" ht="36.5" customHeight="1" x14ac:dyDescent="0.35">
      <c r="A8" s="14"/>
      <c r="B8" s="28" t="str">
        <f>'Project Description'!E12</f>
        <v xml:space="preserve">Reporting/Target Year </v>
      </c>
      <c r="C8" s="295" t="str">
        <f>'Project Description'!F12</f>
        <v>Please Select Year</v>
      </c>
      <c r="E8" s="136"/>
    </row>
    <row r="9" spans="1:8" ht="25" customHeight="1" x14ac:dyDescent="0.35">
      <c r="A9" s="14"/>
      <c r="B9" s="21"/>
      <c r="C9" s="189"/>
      <c r="D9" s="14"/>
      <c r="E9" s="136"/>
    </row>
    <row r="10" spans="1:8" ht="25" customHeight="1" x14ac:dyDescent="0.35">
      <c r="A10" s="14"/>
      <c r="B10" s="365" t="s">
        <v>618</v>
      </c>
      <c r="C10" s="489"/>
      <c r="D10" s="195" t="str">
        <f>'Project Description'!F19</f>
        <v>Quantity</v>
      </c>
      <c r="E10" s="102" t="str">
        <f>'Project Description'!G19</f>
        <v>Unit</v>
      </c>
    </row>
    <row r="11" spans="1:8" ht="25" customHeight="1" x14ac:dyDescent="0.35">
      <c r="A11" s="14"/>
      <c r="B11" s="407" t="s">
        <v>399</v>
      </c>
      <c r="C11" s="490"/>
      <c r="D11" s="213">
        <f>'Baseline Emissions'!C8</f>
        <v>0</v>
      </c>
      <c r="E11" s="103">
        <f>'Baseline Emissions'!D8</f>
        <v>0</v>
      </c>
    </row>
    <row r="12" spans="1:8" ht="25" customHeight="1" x14ac:dyDescent="0.35">
      <c r="A12" s="14"/>
      <c r="B12" s="491" t="str">
        <f>'GHG Impact - Annual'!B11</f>
        <v>Project-level Emissions</v>
      </c>
      <c r="C12" s="492"/>
      <c r="D12" s="214">
        <f>'Annual (or) Project Emissions'!C8</f>
        <v>0</v>
      </c>
      <c r="E12" s="104">
        <f>'Annual (or) Project Emissions'!D8</f>
        <v>0</v>
      </c>
    </row>
    <row r="13" spans="1:8" ht="25" customHeight="1" x14ac:dyDescent="0.35">
      <c r="A13" s="14"/>
      <c r="E13" s="137"/>
    </row>
    <row r="14" spans="1:8" ht="25" customHeight="1" x14ac:dyDescent="0.35">
      <c r="A14" s="14"/>
      <c r="B14" s="352" t="s">
        <v>680</v>
      </c>
      <c r="C14" s="352"/>
      <c r="D14" s="352"/>
      <c r="E14" s="352"/>
    </row>
    <row r="15" spans="1:8" ht="25" customHeight="1" x14ac:dyDescent="0.35">
      <c r="A15" s="14"/>
      <c r="C15" s="14"/>
      <c r="E15" s="137"/>
    </row>
    <row r="16" spans="1:8" ht="25" customHeight="1" x14ac:dyDescent="0.35">
      <c r="A16" s="14"/>
      <c r="B16" s="24" t="s">
        <v>681</v>
      </c>
      <c r="C16" s="24" t="s">
        <v>682</v>
      </c>
      <c r="D16" s="25" t="s">
        <v>693</v>
      </c>
      <c r="E16" s="262" t="s">
        <v>379</v>
      </c>
    </row>
    <row r="17" spans="1:6" ht="25" customHeight="1" x14ac:dyDescent="0.35">
      <c r="A17" s="14"/>
      <c r="B17" s="261" t="s">
        <v>683</v>
      </c>
      <c r="C17" s="123" t="s">
        <v>684</v>
      </c>
      <c r="D17" s="486" t="s">
        <v>25</v>
      </c>
      <c r="E17" s="493"/>
    </row>
    <row r="18" spans="1:6" ht="25" customHeight="1" x14ac:dyDescent="0.35">
      <c r="A18" s="14"/>
      <c r="B18" s="261" t="s">
        <v>685</v>
      </c>
      <c r="C18" s="123" t="s">
        <v>686</v>
      </c>
      <c r="D18" s="487"/>
      <c r="E18" s="494"/>
    </row>
    <row r="19" spans="1:6" ht="25" customHeight="1" x14ac:dyDescent="0.35">
      <c r="A19" s="14"/>
      <c r="B19" s="261" t="s">
        <v>687</v>
      </c>
      <c r="C19" s="123" t="s">
        <v>688</v>
      </c>
      <c r="D19" s="487"/>
      <c r="E19" s="494"/>
    </row>
    <row r="20" spans="1:6" ht="25" customHeight="1" x14ac:dyDescent="0.35">
      <c r="A20" s="14"/>
      <c r="B20" s="261" t="s">
        <v>689</v>
      </c>
      <c r="C20" s="123" t="s">
        <v>690</v>
      </c>
      <c r="D20" s="487"/>
      <c r="E20" s="494"/>
    </row>
    <row r="21" spans="1:6" ht="25" customHeight="1" x14ac:dyDescent="0.35">
      <c r="A21" s="14"/>
      <c r="B21" s="261" t="s">
        <v>691</v>
      </c>
      <c r="C21" s="298" t="s">
        <v>692</v>
      </c>
      <c r="D21" s="488"/>
      <c r="E21" s="495"/>
    </row>
    <row r="22" spans="1:6" ht="25" customHeight="1" x14ac:dyDescent="0.35">
      <c r="A22" s="14"/>
      <c r="C22" s="14"/>
    </row>
    <row r="23" spans="1:6" ht="25" customHeight="1" x14ac:dyDescent="0.35">
      <c r="A23" s="14"/>
      <c r="B23" s="352" t="s">
        <v>519</v>
      </c>
      <c r="C23" s="352"/>
      <c r="D23" s="352"/>
      <c r="E23" s="352"/>
    </row>
    <row r="24" spans="1:6" ht="71" customHeight="1" x14ac:dyDescent="0.35">
      <c r="A24" s="14"/>
      <c r="B24" s="485" t="str">
        <f>"Note:
Positive (+ ve) value = the net GHG savings/reduction of the project when compared to the baseline.
Negative (- ve) value = the added GHG emissions of the project when compared to the baseline."</f>
        <v>Note:
Positive (+ ve) value = the net GHG savings/reduction of the project when compared to the baseline.
Negative (- ve) value = the added GHG emissions of the project when compared to the baseline.</v>
      </c>
      <c r="C24" s="485"/>
      <c r="D24" s="485"/>
      <c r="E24" s="485"/>
    </row>
    <row r="25" spans="1:6" ht="25" customHeight="1" x14ac:dyDescent="0.35">
      <c r="A25" s="14"/>
      <c r="B25" s="340" t="s">
        <v>455</v>
      </c>
      <c r="C25" s="340"/>
      <c r="D25" s="200" t="s">
        <v>698</v>
      </c>
      <c r="E25" s="184" t="s">
        <v>670</v>
      </c>
      <c r="F25" s="73"/>
    </row>
    <row r="26" spans="1:6" ht="25" customHeight="1" x14ac:dyDescent="0.35">
      <c r="A26" s="14"/>
      <c r="B26" s="481" t="str">
        <f>B57</f>
        <v>Total Baseline Emissions</v>
      </c>
      <c r="C26" s="481"/>
      <c r="D26" s="196" t="e">
        <f>D57</f>
        <v>#VALUE!</v>
      </c>
      <c r="E26" s="106" t="s">
        <v>643</v>
      </c>
      <c r="F26" s="52"/>
    </row>
    <row r="27" spans="1:6" ht="25" customHeight="1" x14ac:dyDescent="0.35">
      <c r="A27" s="14"/>
      <c r="B27" s="481" t="str">
        <f>B80</f>
        <v>Total Project Level Emissions</v>
      </c>
      <c r="C27" s="340"/>
      <c r="D27" s="197" t="e">
        <f>D80</f>
        <v>#VALUE!</v>
      </c>
      <c r="E27" s="106" t="s">
        <v>643</v>
      </c>
    </row>
    <row r="28" spans="1:6" ht="25" customHeight="1" x14ac:dyDescent="0.35">
      <c r="A28" s="14"/>
      <c r="C28" s="14"/>
      <c r="D28" s="14"/>
      <c r="E28" s="14"/>
    </row>
    <row r="29" spans="1:6" ht="25" customHeight="1" x14ac:dyDescent="0.35">
      <c r="A29" s="14"/>
      <c r="B29" s="340" t="s">
        <v>449</v>
      </c>
      <c r="C29" s="362"/>
      <c r="D29" s="192" t="e">
        <f>D26-D27</f>
        <v>#VALUE!</v>
      </c>
      <c r="E29" s="106" t="s">
        <v>643</v>
      </c>
    </row>
    <row r="30" spans="1:6" ht="25" customHeight="1" x14ac:dyDescent="0.35">
      <c r="A30" s="14"/>
      <c r="B30" s="17"/>
      <c r="C30" s="17"/>
      <c r="D30" s="136"/>
      <c r="E30" s="17"/>
    </row>
    <row r="31" spans="1:6" ht="25" customHeight="1" x14ac:dyDescent="0.35">
      <c r="A31" s="14"/>
      <c r="B31" s="481" t="s">
        <v>464</v>
      </c>
      <c r="C31" s="473"/>
      <c r="D31" s="296" t="str">
        <f>IF(D17="Yes", 10%, "-")</f>
        <v>-</v>
      </c>
      <c r="E31" s="106" t="s">
        <v>643</v>
      </c>
    </row>
    <row r="32" spans="1:6" ht="25" customHeight="1" x14ac:dyDescent="0.35">
      <c r="A32" s="14"/>
      <c r="B32" s="340" t="s">
        <v>694</v>
      </c>
      <c r="C32" s="340"/>
      <c r="D32" s="307" t="b">
        <f>IF(D17="Yes", $D$29-($D$29*$D$31))</f>
        <v>0</v>
      </c>
      <c r="E32" s="106" t="s">
        <v>643</v>
      </c>
    </row>
    <row r="33" spans="1:6" s="17" customFormat="1" ht="25" customHeight="1" x14ac:dyDescent="0.35">
      <c r="A33" s="14"/>
      <c r="B33" s="14"/>
      <c r="C33" s="191"/>
      <c r="D33" s="16"/>
      <c r="F33" s="73"/>
    </row>
    <row r="34" spans="1:6" ht="25" customHeight="1" x14ac:dyDescent="0.35">
      <c r="A34" s="14"/>
      <c r="B34" s="352" t="s">
        <v>589</v>
      </c>
      <c r="C34" s="352"/>
      <c r="D34" s="352"/>
      <c r="E34" s="352"/>
    </row>
    <row r="35" spans="1:6" ht="25" customHeight="1" x14ac:dyDescent="0.35">
      <c r="A35" s="14"/>
    </row>
    <row r="36" spans="1:6" ht="26" customHeight="1" x14ac:dyDescent="0.35">
      <c r="A36" s="14"/>
      <c r="B36" s="27" t="s">
        <v>655</v>
      </c>
      <c r="C36" s="24" t="s">
        <v>662</v>
      </c>
      <c r="D36" s="200" t="s">
        <v>698</v>
      </c>
      <c r="E36" s="25" t="s">
        <v>456</v>
      </c>
      <c r="F36" s="68" t="s">
        <v>667</v>
      </c>
    </row>
    <row r="37" spans="1:6" ht="26" customHeight="1" x14ac:dyDescent="0.35">
      <c r="A37" s="14"/>
      <c r="B37" s="479" t="s">
        <v>663</v>
      </c>
      <c r="C37" s="123" t="s">
        <v>659</v>
      </c>
      <c r="D37" s="190">
        <f>IF($C$5="Annual Reporting","-",'Baseline Emissions'!F28)</f>
        <v>0</v>
      </c>
      <c r="E37" s="98" t="s">
        <v>653</v>
      </c>
      <c r="F37" s="450" t="str">
        <f>'Baseline Emissions'!H13 &amp; CHAR(10) &amp; CHAR(10) &amp; IF('Baseline Emissions'!H47=0,"",'Baseline Emissions'!H47)</f>
        <v xml:space="preserve">0
</v>
      </c>
    </row>
    <row r="38" spans="1:6" ht="26" customHeight="1" x14ac:dyDescent="0.35">
      <c r="A38" s="14"/>
      <c r="B38" s="479"/>
      <c r="C38" s="123" t="str">
        <f>"Water Used - " &amp;'Baseline Emissions'!C47</f>
        <v>Water Used - Select Water Type</v>
      </c>
      <c r="D38" s="190" t="e">
        <f>IF($C$5="Annual Reporting","-",'Baseline Emissions'!F47)</f>
        <v>#VALUE!</v>
      </c>
      <c r="E38" s="98" t="s">
        <v>653</v>
      </c>
      <c r="F38" s="451"/>
    </row>
    <row r="39" spans="1:6" x14ac:dyDescent="0.35">
      <c r="A39" s="14"/>
      <c r="B39" s="479"/>
      <c r="C39" s="94" t="s">
        <v>24</v>
      </c>
      <c r="D39" s="190">
        <f>IF($C$5="Annual Reporting","-",'Baseline Emissions'!F30)</f>
        <v>0</v>
      </c>
      <c r="E39" s="98" t="s">
        <v>653</v>
      </c>
      <c r="F39" s="452"/>
    </row>
    <row r="40" spans="1:6" ht="26" customHeight="1" x14ac:dyDescent="0.35">
      <c r="A40" s="14"/>
      <c r="B40" s="479" t="s">
        <v>658</v>
      </c>
      <c r="C40" s="123" t="str">
        <f>'Baseline Emissions'!C39 &amp; " - " &amp; TEXT('Baseline Emissions'!E39,"0%")</f>
        <v>Select Power Source - 0%</v>
      </c>
      <c r="D40" s="190">
        <f>'Baseline Emissions'!F39</f>
        <v>0</v>
      </c>
      <c r="E40" s="98" t="s">
        <v>653</v>
      </c>
      <c r="F40" s="450" t="str">
        <f>'Baseline Emissions'!H43 &amp; CHAR(10) &amp; CHAR(10) &amp; IF('Baseline Emissions'!H36=0,"",'Baseline Emissions'!H36)</f>
        <v xml:space="preserve">
</v>
      </c>
    </row>
    <row r="41" spans="1:6" ht="26" customHeight="1" x14ac:dyDescent="0.35">
      <c r="A41" s="14"/>
      <c r="B41" s="479"/>
      <c r="C41" s="123" t="str">
        <f>'Baseline Emissions'!C40 &amp; " - " &amp; TEXT('Baseline Emissions'!E40,"0%")</f>
        <v>Select Power Source - 0%</v>
      </c>
      <c r="D41" s="190" t="str">
        <f>IF($C$5="Annual Reporting", "-",IF('Baseline Emissions'!F40=0,"-",'Baseline Emissions'!F40))</f>
        <v>-</v>
      </c>
      <c r="E41" s="98" t="s">
        <v>653</v>
      </c>
      <c r="F41" s="451"/>
    </row>
    <row r="42" spans="1:6" ht="26" customHeight="1" x14ac:dyDescent="0.35">
      <c r="A42" s="14"/>
      <c r="B42" s="479"/>
      <c r="C42" s="123" t="str">
        <f>'Baseline Emissions'!C41 &amp; " - " &amp; TEXT('Baseline Emissions'!E41,"0%")</f>
        <v>Select Power Source - 0%</v>
      </c>
      <c r="D42" s="190" t="str">
        <f>IF($C$5="Annual Reporting","-",IF('Baseline Emissions'!F41=0,"-",'Baseline Emissions'!F41))</f>
        <v>-</v>
      </c>
      <c r="E42" s="98" t="s">
        <v>653</v>
      </c>
      <c r="F42" s="451"/>
    </row>
    <row r="43" spans="1:6" ht="26" customHeight="1" x14ac:dyDescent="0.35">
      <c r="A43" s="14"/>
      <c r="B43" s="479"/>
      <c r="C43" s="123" t="str">
        <f>'Baseline Emissions'!C42 &amp; " - " &amp; TEXT('Baseline Emissions'!E42,"0%")</f>
        <v>Select Power Source - 0%</v>
      </c>
      <c r="D43" s="190" t="str">
        <f>IF($C$5="Annual Reporting","-",IF('Baseline Emissions'!F42=0,"-",'Baseline Emissions'!F42))</f>
        <v>-</v>
      </c>
      <c r="E43" s="98" t="s">
        <v>653</v>
      </c>
      <c r="F43" s="451"/>
    </row>
    <row r="44" spans="1:6" ht="26" customHeight="1" x14ac:dyDescent="0.35">
      <c r="A44" s="14"/>
      <c r="B44" s="479"/>
      <c r="C44" s="123" t="str">
        <f>'Baseline Emissions'!C43 &amp; " - " &amp; TEXT('Baseline Emissions'!E43,"0%")</f>
        <v>Select Power Source - 0%</v>
      </c>
      <c r="D44" s="190" t="str">
        <f>IF($C$5="Annual Reporting","-",IF('Baseline Emissions'!F43=0,"-",'Baseline Emissions'!F43))</f>
        <v>-</v>
      </c>
      <c r="E44" s="98" t="s">
        <v>653</v>
      </c>
      <c r="F44" s="452"/>
    </row>
    <row r="45" spans="1:6" ht="26" customHeight="1" x14ac:dyDescent="0.35">
      <c r="A45" s="14"/>
      <c r="B45" s="479"/>
      <c r="C45" s="94" t="s">
        <v>24</v>
      </c>
      <c r="D45" s="192" t="e">
        <f>IF($C$5="Annual Reporting","-",'Baseline Emissions'!F49)</f>
        <v>#VALUE!</v>
      </c>
      <c r="E45" s="106" t="s">
        <v>653</v>
      </c>
      <c r="F45" s="450">
        <f>'Baseline Emissions'!I55</f>
        <v>0</v>
      </c>
    </row>
    <row r="46" spans="1:6" ht="26" customHeight="1" x14ac:dyDescent="0.35">
      <c r="A46" s="181"/>
      <c r="B46" s="479" t="s">
        <v>660</v>
      </c>
      <c r="C46" s="123" t="str">
        <f xml:space="preserve"> "RM Sourcing - " &amp;'Baseline Emissions'!D55 &amp;" - " &amp;'Baseline Emissions'!E55</f>
        <v>RM Sourcing - Select Vehicle Type - Select Fuel Type</v>
      </c>
      <c r="D46" s="190" t="str">
        <f>IF($C$5="Annual Reporting","-",IF('Baseline Emissions'!F55=0,"-",'Baseline Emissions'!F55))</f>
        <v>-</v>
      </c>
      <c r="E46" s="98" t="s">
        <v>653</v>
      </c>
      <c r="F46" s="451"/>
    </row>
    <row r="47" spans="1:6" ht="26" customHeight="1" x14ac:dyDescent="0.35">
      <c r="A47" s="14"/>
      <c r="B47" s="479"/>
      <c r="C47" s="123" t="str">
        <f xml:space="preserve"> 'Baseline Emissions'!B56 &amp; " - " &amp; 'Baseline Emissions'!D56 &amp; " - " &amp;'Baseline Emissions'!E56</f>
        <v>Product Distribution to Suppliers - 0 0 - Select Vehicle Type - Select Fuel Type</v>
      </c>
      <c r="D47" s="190" t="str">
        <f>IF($C$5="Annual Reporting","-",IF('Baseline Emissions'!F56=0,"-",'Baseline Emissions'!F56))</f>
        <v>-</v>
      </c>
      <c r="E47" s="98" t="s">
        <v>653</v>
      </c>
      <c r="F47" s="451"/>
    </row>
    <row r="48" spans="1:6" ht="26" customHeight="1" x14ac:dyDescent="0.35">
      <c r="A48" s="14"/>
      <c r="B48" s="479"/>
      <c r="C48" s="123" t="str">
        <f xml:space="preserve"> 'Baseline Emissions'!B57 &amp; " - " &amp; 'Baseline Emissions'!D57 &amp; " - " &amp;'Baseline Emissions'!E57</f>
        <v>Add additional transport, if necessary - Select Vehicle Type - Select Fuel Type</v>
      </c>
      <c r="D48" s="190" t="str">
        <f>IF($C$5="Annual Reporting","-",IF('Baseline Emissions'!F57=0,"-",'Baseline Emissions'!F57))</f>
        <v>-</v>
      </c>
      <c r="E48" s="98" t="s">
        <v>653</v>
      </c>
      <c r="F48" s="451"/>
    </row>
    <row r="49" spans="1:6" ht="26" customHeight="1" x14ac:dyDescent="0.35">
      <c r="A49" s="14"/>
      <c r="B49" s="479"/>
      <c r="C49" s="123" t="str">
        <f xml:space="preserve"> 'Baseline Emissions'!B58 &amp; " - " &amp; 'Baseline Emissions'!D58 &amp; " - " &amp;'Baseline Emissions'!E58</f>
        <v>Add additional transport, if necessary - Select Vehicle Type - Select Fuel Type</v>
      </c>
      <c r="D49" s="190" t="str">
        <f>IF($C$5="Annual Reporting","-",IF('Baseline Emissions'!F58=0,"-",'Baseline Emissions'!F58))</f>
        <v>-</v>
      </c>
      <c r="E49" s="98" t="s">
        <v>653</v>
      </c>
      <c r="F49" s="451"/>
    </row>
    <row r="50" spans="1:6" ht="26" customHeight="1" x14ac:dyDescent="0.35">
      <c r="A50" s="14"/>
      <c r="B50" s="479"/>
      <c r="C50" s="123" t="str">
        <f xml:space="preserve"> 'Baseline Emissions'!B59 &amp; " - " &amp; 'Baseline Emissions'!D59 &amp; " - " &amp;'Baseline Emissions'!E59</f>
        <v>Add additional transport, if necessary - Select Vehicle Type - Select Fuel Type</v>
      </c>
      <c r="D50" s="190" t="str">
        <f>IF($C$5="Annual Reporting","-",IF('Baseline Emissions'!F59=0,"-",'Baseline Emissions'!F59))</f>
        <v>-</v>
      </c>
      <c r="E50" s="98" t="s">
        <v>653</v>
      </c>
      <c r="F50" s="451"/>
    </row>
    <row r="51" spans="1:6" ht="26" customHeight="1" x14ac:dyDescent="0.35">
      <c r="A51" s="14"/>
      <c r="B51" s="479"/>
      <c r="C51" s="94" t="s">
        <v>24</v>
      </c>
      <c r="D51" s="192">
        <f>IF($C$5="Annual Reporting", "-",'Baseline Emissions'!F61)</f>
        <v>0</v>
      </c>
      <c r="E51" s="106" t="s">
        <v>653</v>
      </c>
      <c r="F51" s="452"/>
    </row>
    <row r="52" spans="1:6" ht="26" customHeight="1" x14ac:dyDescent="0.35">
      <c r="A52" s="14"/>
      <c r="B52" s="482" t="s">
        <v>661</v>
      </c>
      <c r="C52" s="123" t="str">
        <f>'Baseline Emissions'!C67 &amp; " - " &amp; TEXT('Baseline Emissions'!E67,"0%")</f>
        <v>Select Treatment Process - 0%</v>
      </c>
      <c r="D52" s="190" t="str">
        <f>IF($C$5="Annual Reporting","-",IF('Baseline Emissions'!F67=0,"-",'Baseline Emissions'!F67))</f>
        <v>n/a</v>
      </c>
      <c r="E52" s="98" t="s">
        <v>653</v>
      </c>
      <c r="F52" s="450">
        <f>'Baseline Emissions'!H67</f>
        <v>0</v>
      </c>
    </row>
    <row r="53" spans="1:6" ht="26" customHeight="1" x14ac:dyDescent="0.35">
      <c r="A53" s="14"/>
      <c r="B53" s="483"/>
      <c r="C53" s="123" t="str">
        <f>'Baseline Emissions'!C68 &amp; " - " &amp; TEXT('Baseline Emissions'!E68,"0%")</f>
        <v>Select Treatment Process - 0%</v>
      </c>
      <c r="D53" s="190" t="str">
        <f>IF($C$5="Annual Reporting","-",IF('Baseline Emissions'!F68=0,"-",'Baseline Emissions'!F68))</f>
        <v>n/a</v>
      </c>
      <c r="E53" s="98" t="s">
        <v>653</v>
      </c>
      <c r="F53" s="451"/>
    </row>
    <row r="54" spans="1:6" ht="26" customHeight="1" x14ac:dyDescent="0.35">
      <c r="A54" s="14"/>
      <c r="B54" s="483"/>
      <c r="C54" s="123" t="str">
        <f>'Baseline Emissions'!C69 &amp; " - " &amp; TEXT('Baseline Emissions'!E69,"0%")</f>
        <v>Select Treatment Process - 0%</v>
      </c>
      <c r="D54" s="190" t="str">
        <f>IF($C$5="Annual Reporting","-",IF('Baseline Emissions'!F69=0,"-",'Baseline Emissions'!F69))</f>
        <v>n/a</v>
      </c>
      <c r="E54" s="98" t="s">
        <v>653</v>
      </c>
      <c r="F54" s="451"/>
    </row>
    <row r="55" spans="1:6" ht="26" customHeight="1" x14ac:dyDescent="0.35">
      <c r="A55" s="14"/>
      <c r="B55" s="483"/>
      <c r="C55" s="123" t="str">
        <f>'Baseline Emissions'!C70 &amp; " - " &amp; TEXT('Baseline Emissions'!E70,"0%")</f>
        <v>Select Treatment Process - 0%</v>
      </c>
      <c r="D55" s="190" t="str">
        <f>IF($C$5="Annual Reporting","-",IF('Baseline Emissions'!F70=0,"-",'Baseline Emissions'!F70))</f>
        <v>n/a</v>
      </c>
      <c r="E55" s="98" t="s">
        <v>653</v>
      </c>
      <c r="F55" s="451"/>
    </row>
    <row r="56" spans="1:6" ht="26" customHeight="1" x14ac:dyDescent="0.35">
      <c r="A56" s="14"/>
      <c r="B56" s="484"/>
      <c r="C56" s="94" t="s">
        <v>24</v>
      </c>
      <c r="D56" s="192" t="str">
        <f>IF($C$5="Annual Reporting", "-",'Baseline Emissions'!F72)</f>
        <v>n/a</v>
      </c>
      <c r="E56" s="106" t="s">
        <v>653</v>
      </c>
      <c r="F56" s="452"/>
    </row>
    <row r="57" spans="1:6" ht="26" customHeight="1" x14ac:dyDescent="0.35">
      <c r="A57" s="14"/>
      <c r="B57" s="479" t="str">
        <f>'Baseline Emissions'!B75</f>
        <v>Total Baseline Emissions</v>
      </c>
      <c r="C57" s="480"/>
      <c r="D57" s="192" t="e">
        <f>IF($C$5="Annual Reporting", "-",'Baseline Emissions'!F75)</f>
        <v>#VALUE!</v>
      </c>
      <c r="E57" s="477" t="s">
        <v>653</v>
      </c>
      <c r="F57" s="478"/>
    </row>
    <row r="58" spans="1:6" ht="26" customHeight="1" x14ac:dyDescent="0.35">
      <c r="A58" s="14"/>
      <c r="B58" s="131"/>
      <c r="C58" s="15"/>
      <c r="D58" s="191"/>
    </row>
    <row r="59" spans="1:6" ht="26" customHeight="1" x14ac:dyDescent="0.35">
      <c r="A59" s="14"/>
      <c r="B59" s="27" t="s">
        <v>655</v>
      </c>
      <c r="C59" s="24" t="s">
        <v>662</v>
      </c>
      <c r="D59" s="200" t="s">
        <v>698</v>
      </c>
      <c r="E59" s="25" t="s">
        <v>456</v>
      </c>
      <c r="F59" s="68" t="s">
        <v>667</v>
      </c>
    </row>
    <row r="60" spans="1:6" ht="26" customHeight="1" x14ac:dyDescent="0.35">
      <c r="B60" s="479" t="s">
        <v>663</v>
      </c>
      <c r="C60" s="123" t="s">
        <v>659</v>
      </c>
      <c r="D60" s="194" t="str">
        <f>IF($C$5="Annual Reporting","-",IF('Annual (or) Project Emissions'!F28=0,"-",'Annual (or) Project Emissions'!F28))</f>
        <v>-</v>
      </c>
      <c r="E60" s="103" t="str">
        <f>'Annual (or) Project Emissions'!G28</f>
        <v>kg-CO₂ eq/0 0</v>
      </c>
      <c r="F60" s="450" t="str">
        <f>'Annual (or) Project Emissions'!H13 &amp; CHAR(10) &amp; CHAR(10) &amp; IF('Annual (or) Project Emissions'!H47=0,"",'Annual (or) Project Emissions'!H47)</f>
        <v xml:space="preserve">3 kg dry leaves are used for making 1 kg Sunbird Straws
</v>
      </c>
    </row>
    <row r="61" spans="1:6" ht="26" customHeight="1" x14ac:dyDescent="0.35">
      <c r="B61" s="479"/>
      <c r="C61" s="123" t="str">
        <f>"Water Used - " &amp;'Annual (or) Project Emissions'!C47</f>
        <v>Water Used - Select Water Type</v>
      </c>
      <c r="D61" s="194" t="e">
        <f>IF($C$5="Annual Reporting","-",IF('Annual (or) Project Emissions'!F47=0,"-",'Annual (or) Project Emissions'!F47))</f>
        <v>#VALUE!</v>
      </c>
      <c r="E61" s="103" t="str">
        <f>'Annual (or) Project Emissions'!G47</f>
        <v>kg-CO₂ eq/0 0</v>
      </c>
      <c r="F61" s="451"/>
    </row>
    <row r="62" spans="1:6" ht="26" customHeight="1" x14ac:dyDescent="0.35">
      <c r="B62" s="479"/>
      <c r="C62" s="94" t="s">
        <v>24</v>
      </c>
      <c r="D62" s="193">
        <f>IF($C$5="Annual Reporting", "-",'Annual (or) Project Emissions'!F31)</f>
        <v>0</v>
      </c>
      <c r="E62" s="105" t="str">
        <f>'Annual (or) Project Emissions'!G31</f>
        <v>kg-CO₂ eq/1 kg-SB straw</v>
      </c>
      <c r="F62" s="452"/>
    </row>
    <row r="63" spans="1:6" ht="26" customHeight="1" x14ac:dyDescent="0.35">
      <c r="B63" s="479" t="s">
        <v>658</v>
      </c>
      <c r="C63" s="123" t="str">
        <f>'Annual (or) Project Emissions'!C39 &amp; " - " &amp; TEXT('Annual (or) Project Emissions'!E39,"0%")</f>
        <v>Select Power Source - 0%</v>
      </c>
      <c r="D63" s="194" t="str">
        <f>IF($C$5="Annual Reporting","-",IF('Annual (or) Project Emissions'!F39=0,"-",'Annual (or) Project Emissions'!F39))</f>
        <v>-</v>
      </c>
      <c r="E63" s="103" t="str">
        <f>'Annual (or) Project Emissions'!G39</f>
        <v>kg-CO₂ eq/0 0</v>
      </c>
      <c r="F63" s="450" t="str">
        <f>'Annual (or) Project Emissions'!H39 &amp; CHAR(10) &amp; CHAR(10) &amp; IF('Annual (or) Project Emissions'!H36=0,"",'Annual (or) Project Emissions'!H36)</f>
        <v xml:space="preserve">0
</v>
      </c>
    </row>
    <row r="64" spans="1:6" ht="26" customHeight="1" x14ac:dyDescent="0.35">
      <c r="B64" s="479"/>
      <c r="C64" s="123" t="str">
        <f>'Annual (or) Project Emissions'!C40 &amp; " - " &amp; TEXT('Annual (or) Project Emissions'!E40,"0%")</f>
        <v>Select Power Source - 0%</v>
      </c>
      <c r="D64" s="194" t="str">
        <f>IF($C$5="Annual Reporting","-",IF('Annual (or) Project Emissions'!F40=0,"-",'Annual (or) Project Emissions'!F40))</f>
        <v>-</v>
      </c>
      <c r="E64" s="103" t="str">
        <f>'Annual (or) Project Emissions'!G40</f>
        <v>kg-CO₂ eq/0 0</v>
      </c>
      <c r="F64" s="451"/>
    </row>
    <row r="65" spans="2:6" ht="26" customHeight="1" x14ac:dyDescent="0.35">
      <c r="B65" s="479"/>
      <c r="C65" s="123" t="str">
        <f>'Annual (or) Project Emissions'!C41 &amp; " - " &amp; TEXT('Annual (or) Project Emissions'!E41,"0%")</f>
        <v>Select Power Source - 0%</v>
      </c>
      <c r="D65" s="194" t="str">
        <f>IF($C$5="Annual Reporting","-",IF('Annual (or) Project Emissions'!F41=0,"-",'Annual (or) Project Emissions'!F41))</f>
        <v>-</v>
      </c>
      <c r="E65" s="103" t="str">
        <f>'Annual (or) Project Emissions'!G41</f>
        <v>kg-CO₂ eq/0 0</v>
      </c>
      <c r="F65" s="451"/>
    </row>
    <row r="66" spans="2:6" ht="26" customHeight="1" x14ac:dyDescent="0.35">
      <c r="B66" s="479"/>
      <c r="C66" s="123" t="str">
        <f>'Annual (or) Project Emissions'!C42 &amp; " - " &amp; TEXT('Annual (or) Project Emissions'!E42,"0%")</f>
        <v>Select Power Source - 0%</v>
      </c>
      <c r="D66" s="194" t="str">
        <f>IF($C$5="Annual Reporting","-",IF('Annual (or) Project Emissions'!F42=0,"-",'Annual (or) Project Emissions'!F42))</f>
        <v>-</v>
      </c>
      <c r="E66" s="103" t="str">
        <f>'Annual (or) Project Emissions'!G42</f>
        <v>kg-CO₂ eq/0 0</v>
      </c>
      <c r="F66" s="451"/>
    </row>
    <row r="67" spans="2:6" ht="26" customHeight="1" x14ac:dyDescent="0.35">
      <c r="B67" s="479"/>
      <c r="C67" s="123" t="str">
        <f>'Annual (or) Project Emissions'!C43 &amp; " - " &amp; TEXT('Annual (or) Project Emissions'!E43,"0%")</f>
        <v>Select Power Source - 0%</v>
      </c>
      <c r="D67" s="194" t="str">
        <f>IF($C$5="Annual Reporting","-",IF('Annual (or) Project Emissions'!F43=0,"-",'Annual (or) Project Emissions'!F43))</f>
        <v>-</v>
      </c>
      <c r="E67" s="103" t="str">
        <f>'Annual (or) Project Emissions'!G43</f>
        <v>kg-CO₂ eq/0 0</v>
      </c>
      <c r="F67" s="451"/>
    </row>
    <row r="68" spans="2:6" ht="26" customHeight="1" x14ac:dyDescent="0.35">
      <c r="B68" s="479"/>
      <c r="C68" s="94" t="s">
        <v>24</v>
      </c>
      <c r="D68" s="193" t="e">
        <f>IF($C$5="Annual Reporting", "-",'Annual (or) Project Emissions'!F49)</f>
        <v>#VALUE!</v>
      </c>
      <c r="E68" s="105" t="str">
        <f>'Annual (or) Project Emissions'!G49</f>
        <v>kg-CO₂ eq/1 kg-SB straw</v>
      </c>
      <c r="F68" s="452"/>
    </row>
    <row r="69" spans="2:6" ht="26" customHeight="1" x14ac:dyDescent="0.35">
      <c r="B69" s="479" t="s">
        <v>660</v>
      </c>
      <c r="C69" s="123" t="str">
        <f xml:space="preserve"> 'Annual (or) Project Emissions'!B55 &amp; " " &amp; 'Annual (or) Project Emissions'!D55 &amp;" - " &amp;'Annual (or) Project Emissions'!E55</f>
        <v>RM Sourcing Select Vehicle Type - Select Fuel Type</v>
      </c>
      <c r="D69" s="194" t="str">
        <f>IF($C$5="Annual Reporting","-",IF('Annual (or) Project Emissions'!F55=0,"-",'Annual (or) Project Emissions'!F55))</f>
        <v>-</v>
      </c>
      <c r="E69" s="103" t="str">
        <f>'Annual (or) Project Emissions'!G55</f>
        <v>kg-CO₂ eq/0 0</v>
      </c>
      <c r="F69" s="450">
        <f>'Annual (or) Project Emissions'!I55</f>
        <v>0</v>
      </c>
    </row>
    <row r="70" spans="2:6" ht="26" customHeight="1" x14ac:dyDescent="0.35">
      <c r="B70" s="479"/>
      <c r="C70" s="123" t="str">
        <f xml:space="preserve"> 'Annual (or) Project Emissions'!B56&amp; " " &amp;'Annual (or) Project Emissions'!D56 &amp;" - " &amp;'Annual (or) Project Emissions'!E56</f>
        <v>Product Distribution to Suppliers - 0 0 Select Vehicle Type - Select Fuel Type</v>
      </c>
      <c r="D70" s="194" t="str">
        <f>IF($C$5="Annual Reporting","-",IF('Annual (or) Project Emissions'!F56=0,"-",'Annual (or) Project Emissions'!F56))</f>
        <v>-</v>
      </c>
      <c r="E70" s="103" t="str">
        <f>'Annual (or) Project Emissions'!G56</f>
        <v>kg-CO₂ eq/0 0</v>
      </c>
      <c r="F70" s="451"/>
    </row>
    <row r="71" spans="2:6" ht="26" customHeight="1" x14ac:dyDescent="0.35">
      <c r="B71" s="479"/>
      <c r="C71" s="123" t="str">
        <f xml:space="preserve"> 'Annual (or) Project Emissions'!B57&amp; " " &amp;'Annual (or) Project Emissions'!D57 &amp;" - " &amp;'Annual (or) Project Emissions'!E57</f>
        <v>Add additional transport, if necessary Select Vehicle Type - Select Fuel Type</v>
      </c>
      <c r="D71" s="194" t="str">
        <f>IF($C$5="Annual Reporting","-",IF('Annual (or) Project Emissions'!F57=0,"-",'Annual (or) Project Emissions'!F57))</f>
        <v>-</v>
      </c>
      <c r="E71" s="103" t="str">
        <f>'Annual (or) Project Emissions'!G57</f>
        <v>kg-CO₂ eq/0 0</v>
      </c>
      <c r="F71" s="451"/>
    </row>
    <row r="72" spans="2:6" ht="26" customHeight="1" x14ac:dyDescent="0.35">
      <c r="B72" s="479"/>
      <c r="C72" s="123" t="str">
        <f xml:space="preserve"> 'Annual (or) Project Emissions'!B58&amp; " " &amp;'Annual (or) Project Emissions'!D58 &amp;" - " &amp;'Annual (or) Project Emissions'!E58</f>
        <v>Add additional transport, if necessary Select Vehicle Type - Select Fuel Type</v>
      </c>
      <c r="D72" s="194" t="str">
        <f>IF($C$5="Annual Reporting","-",IF('Annual (or) Project Emissions'!F58=0,"-",'Annual (or) Project Emissions'!F58))</f>
        <v>-</v>
      </c>
      <c r="E72" s="103" t="str">
        <f>'Annual (or) Project Emissions'!G58</f>
        <v>kg-CO₂ eq/0 0</v>
      </c>
      <c r="F72" s="451"/>
    </row>
    <row r="73" spans="2:6" ht="26" customHeight="1" x14ac:dyDescent="0.35">
      <c r="B73" s="479"/>
      <c r="C73" s="123" t="str">
        <f xml:space="preserve"> 'Annual (or) Project Emissions'!B59&amp; " " &amp;'Annual (or) Project Emissions'!D59 &amp;" - " &amp;'Annual (or) Project Emissions'!E59</f>
        <v>Add additional transport, if necessary Select Vehicle Type - Select Fuel Type</v>
      </c>
      <c r="D73" s="194" t="str">
        <f>IF($C$5="Annual Reporting","-",IF('Annual (or) Project Emissions'!F59=0,"-",'Annual (or) Project Emissions'!F59))</f>
        <v>-</v>
      </c>
      <c r="E73" s="103" t="str">
        <f>'Annual (or) Project Emissions'!G59</f>
        <v>kg-CO₂ eq/0 0</v>
      </c>
      <c r="F73" s="451"/>
    </row>
    <row r="74" spans="2:6" ht="26" customHeight="1" x14ac:dyDescent="0.35">
      <c r="B74" s="479"/>
      <c r="C74" s="94" t="s">
        <v>24</v>
      </c>
      <c r="D74" s="193">
        <f>IF($C$5="Annual Reporting", "-",'Annual (or) Project Emissions'!F61)</f>
        <v>0</v>
      </c>
      <c r="E74" s="105" t="str">
        <f>'Annual (or) Project Emissions'!G61</f>
        <v>kg-CO₂ eq/1 kg-SB straw</v>
      </c>
      <c r="F74" s="452"/>
    </row>
    <row r="75" spans="2:6" ht="26" customHeight="1" x14ac:dyDescent="0.35">
      <c r="B75" s="449" t="s">
        <v>661</v>
      </c>
      <c r="C75" s="123" t="str">
        <f>'Annual (or) Project Emissions'!C67 &amp; " - " &amp; TEXT('Annual (or) Project Emissions'!E67,"0%")</f>
        <v>Select Treatment Process - 0%</v>
      </c>
      <c r="D75" s="194" t="str">
        <f>IF($C$5="Annual Reporting","-",IF('Annual (or) Project Emissions'!F67=0,"-",'Annual (or) Project Emissions'!F67))</f>
        <v>n/a</v>
      </c>
      <c r="E75" s="103" t="str">
        <f>'Annual (or) Project Emissions'!G67</f>
        <v>kg-CO₂ eq/0 0</v>
      </c>
      <c r="F75" s="450">
        <f>'Annual (or) Project Emissions'!H67</f>
        <v>0</v>
      </c>
    </row>
    <row r="76" spans="2:6" ht="26" customHeight="1" x14ac:dyDescent="0.35">
      <c r="B76" s="449"/>
      <c r="C76" s="123" t="str">
        <f>'Annual (or) Project Emissions'!C68 &amp; " - " &amp; TEXT('Annual (or) Project Emissions'!E68,"0%")</f>
        <v>Select Treatment Process - 0%</v>
      </c>
      <c r="D76" s="194" t="str">
        <f>IF($C$5="Annual Reporting","-",IF('Annual (or) Project Emissions'!F68=0,"-",'Annual (or) Project Emissions'!F68))</f>
        <v>n/a</v>
      </c>
      <c r="E76" s="103" t="str">
        <f>'Annual (or) Project Emissions'!G68</f>
        <v>kg-CO₂ eq/0 0</v>
      </c>
      <c r="F76" s="451"/>
    </row>
    <row r="77" spans="2:6" ht="26" customHeight="1" x14ac:dyDescent="0.35">
      <c r="B77" s="449"/>
      <c r="C77" s="123" t="str">
        <f>'Annual (or) Project Emissions'!C69 &amp; " - " &amp; TEXT('Annual (or) Project Emissions'!E69,"0%")</f>
        <v>Select Treatment Process - 0%</v>
      </c>
      <c r="D77" s="194" t="str">
        <f>IF($C$5="Annual Reporting","-",IF('Annual (or) Project Emissions'!F69=0,"-",'Annual (or) Project Emissions'!F69))</f>
        <v>n/a</v>
      </c>
      <c r="E77" s="103" t="str">
        <f>'Annual (or) Project Emissions'!G69</f>
        <v>kg-CO₂ eq/0 0</v>
      </c>
      <c r="F77" s="451"/>
    </row>
    <row r="78" spans="2:6" ht="26" customHeight="1" x14ac:dyDescent="0.35">
      <c r="B78" s="449"/>
      <c r="C78" s="123" t="str">
        <f>'Annual (or) Project Emissions'!C70 &amp; " - " &amp; TEXT('Annual (or) Project Emissions'!E70,"0%")</f>
        <v>Select Treatment Process - 0%</v>
      </c>
      <c r="D78" s="194" t="str">
        <f>IF($C$5="Annual Reporting","-",IF('Annual (or) Project Emissions'!F70=0,"-",'Annual (or) Project Emissions'!F70))</f>
        <v>n/a</v>
      </c>
      <c r="E78" s="103" t="str">
        <f>'Annual (or) Project Emissions'!G70</f>
        <v>kg-CO₂ eq/0 0</v>
      </c>
      <c r="F78" s="451"/>
    </row>
    <row r="79" spans="2:6" ht="26" customHeight="1" x14ac:dyDescent="0.35">
      <c r="B79" s="449"/>
      <c r="C79" s="94" t="s">
        <v>24</v>
      </c>
      <c r="D79" s="193" t="str">
        <f>IF($C$5="Annual Reporting", "-",'Annual (or) Project Emissions'!F72)</f>
        <v>n/a</v>
      </c>
      <c r="E79" s="105" t="str">
        <f>'Annual (or) Project Emissions'!G72</f>
        <v>kg-CO₂ eq/1 kg-SB straw</v>
      </c>
      <c r="F79" s="452"/>
    </row>
    <row r="80" spans="2:6" ht="26" customHeight="1" x14ac:dyDescent="0.35">
      <c r="B80" s="479" t="str">
        <f>'Annual (or) Project Emissions'!B75</f>
        <v>Total Project Level Emissions</v>
      </c>
      <c r="C80" s="479"/>
      <c r="D80" s="198" t="e">
        <f>IF($C$5="Annual Reporting", "-",'Annual (or) Project Emissions'!F75)</f>
        <v>#VALUE!</v>
      </c>
      <c r="E80" s="477" t="str">
        <f>'Annual (or) Project Emissions'!G75</f>
        <v>kg-CO₂ eq/1 kg-SB straw</v>
      </c>
      <c r="F80" s="478"/>
    </row>
    <row r="81" spans="2:5" x14ac:dyDescent="0.35">
      <c r="B81" s="211"/>
      <c r="C81" s="211"/>
      <c r="D81" s="212"/>
      <c r="E81" s="17"/>
    </row>
    <row r="82" spans="2:5" ht="49.5" customHeight="1" x14ac:dyDescent="0.35">
      <c r="C82" s="14"/>
      <c r="D82" s="14"/>
      <c r="E82" s="14"/>
    </row>
  </sheetData>
  <sheetProtection algorithmName="SHA-512" hashValue="gXMfsbVli3tSXack8Svnmn1tyk2twqnonpJI6IvVnI6zVHg025GsKCtbFB3gtBTjAqQ9X83yWTWs4iqWIZsuHQ==" saltValue="VgaXX0oKuunYl9imvV8iug==" spinCount="100000" sheet="1" scenarios="1" formatColumns="0"/>
  <mergeCells count="39">
    <mergeCell ref="B1:H1"/>
    <mergeCell ref="B2:H2"/>
    <mergeCell ref="B3:G3"/>
    <mergeCell ref="D5:E5"/>
    <mergeCell ref="B25:C25"/>
    <mergeCell ref="B23:E23"/>
    <mergeCell ref="B24:E24"/>
    <mergeCell ref="B14:E14"/>
    <mergeCell ref="D17:D21"/>
    <mergeCell ref="B10:C10"/>
    <mergeCell ref="B11:C11"/>
    <mergeCell ref="B12:C12"/>
    <mergeCell ref="E17:E21"/>
    <mergeCell ref="B80:C80"/>
    <mergeCell ref="B60:B62"/>
    <mergeCell ref="B63:B68"/>
    <mergeCell ref="B69:B74"/>
    <mergeCell ref="B75:B79"/>
    <mergeCell ref="B37:B39"/>
    <mergeCell ref="B40:B45"/>
    <mergeCell ref="B46:B51"/>
    <mergeCell ref="B57:C57"/>
    <mergeCell ref="B26:C26"/>
    <mergeCell ref="B27:C27"/>
    <mergeCell ref="B29:C29"/>
    <mergeCell ref="B34:E34"/>
    <mergeCell ref="B31:C31"/>
    <mergeCell ref="B52:B56"/>
    <mergeCell ref="B32:C32"/>
    <mergeCell ref="F60:F62"/>
    <mergeCell ref="F63:F68"/>
    <mergeCell ref="F69:F74"/>
    <mergeCell ref="F75:F79"/>
    <mergeCell ref="E80:F80"/>
    <mergeCell ref="F37:F39"/>
    <mergeCell ref="F40:F44"/>
    <mergeCell ref="F45:F51"/>
    <mergeCell ref="F52:F56"/>
    <mergeCell ref="E57:F57"/>
  </mergeCells>
  <phoneticPr fontId="31" type="noConversion"/>
  <conditionalFormatting sqref="D29 D32">
    <cfRule type="cellIs" dxfId="4" priority="2" operator="greaterThan">
      <formula>0</formula>
    </cfRule>
    <cfRule type="cellIs" dxfId="3" priority="1" operator="lessThan">
      <formula>0</formula>
    </cfRule>
  </conditionalFormatting>
  <dataValidations count="2">
    <dataValidation type="list" allowBlank="1" showInputMessage="1" showErrorMessage="1" sqref="H6" xr:uid="{9831D5F7-ECA2-4121-976C-82BCD66AD816}">
      <formula1>"Dropdown Cells"</formula1>
    </dataValidation>
    <dataValidation type="list" allowBlank="1" showInputMessage="1" showErrorMessage="1" sqref="D17:D21" xr:uid="{47FD00FC-AC9F-4CA9-B98C-92EE6F735D61}">
      <formula1>"Select Option, Yes, No"</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1FF1E-A680-43F8-A67F-FDACAD0B19BF}">
  <sheetPr codeName="Sheet12">
    <tabColor theme="8"/>
  </sheetPr>
  <dimension ref="A1:K45"/>
  <sheetViews>
    <sheetView showGridLines="0" topLeftCell="A10" zoomScale="55" zoomScaleNormal="55" workbookViewId="0">
      <selection activeCell="C14" sqref="C14 C11:D11"/>
    </sheetView>
  </sheetViews>
  <sheetFormatPr defaultRowHeight="18" x14ac:dyDescent="0.35"/>
  <cols>
    <col min="1" max="1" width="9.1796875" style="109" customWidth="1"/>
    <col min="2" max="2" width="54.453125" style="14" customWidth="1"/>
    <col min="3" max="3" width="45.453125" style="16" customWidth="1"/>
    <col min="4" max="4" width="45.453125" style="14" customWidth="1"/>
    <col min="5" max="5" width="47.90625" style="14" customWidth="1"/>
    <col min="6" max="6" width="49" style="14" customWidth="1"/>
    <col min="7" max="7" width="37.453125" style="14" customWidth="1"/>
    <col min="8" max="8" width="8.7265625" style="14"/>
    <col min="9" max="9" width="58.81640625" style="14" customWidth="1"/>
    <col min="10" max="10" width="54.54296875" style="14" customWidth="1"/>
    <col min="11" max="11" width="42.6328125" style="14" customWidth="1"/>
    <col min="12" max="16384" width="8.7265625" style="14"/>
  </cols>
  <sheetData>
    <row r="1" spans="1:7" ht="73" customHeight="1" x14ac:dyDescent="0.35">
      <c r="B1" s="331" t="s">
        <v>561</v>
      </c>
      <c r="C1" s="331"/>
      <c r="D1" s="331"/>
      <c r="E1" s="331"/>
      <c r="F1" s="331"/>
      <c r="G1" s="331"/>
    </row>
    <row r="2" spans="1:7" ht="45" customHeight="1" x14ac:dyDescent="0.35">
      <c r="B2" s="357" t="s">
        <v>526</v>
      </c>
      <c r="C2" s="357"/>
      <c r="D2" s="357"/>
      <c r="E2" s="357"/>
      <c r="F2" s="357"/>
      <c r="G2" s="357"/>
    </row>
    <row r="3" spans="1:7" ht="59" customHeight="1" x14ac:dyDescent="0.35">
      <c r="A3" s="181"/>
      <c r="B3" s="359" t="str">
        <f>'About this tool'!C52</f>
        <v>This sheet captures financial data related to both the baseline and Annual/Project Level scenarios, such as capital costs, operating costs, and revenues. It enables the linkage between climate impact and financial performance.</v>
      </c>
      <c r="C3" s="359"/>
      <c r="D3" s="359"/>
      <c r="E3" s="359"/>
      <c r="F3" s="359"/>
      <c r="G3" s="359"/>
    </row>
    <row r="5" spans="1:7" x14ac:dyDescent="0.35">
      <c r="A5" s="14"/>
      <c r="B5" s="28" t="str">
        <f>'Project Description'!B19</f>
        <v>Scope</v>
      </c>
      <c r="C5" s="295" t="str">
        <f>'Project Description'!C19</f>
        <v>Select Scope</v>
      </c>
      <c r="D5" s="99"/>
      <c r="E5" s="99"/>
      <c r="F5" s="118" t="s">
        <v>579</v>
      </c>
      <c r="G5" s="119" t="s">
        <v>582</v>
      </c>
    </row>
    <row r="6" spans="1:7" x14ac:dyDescent="0.35">
      <c r="A6" s="14"/>
      <c r="B6" s="318" t="str">
        <f>'Project Description'!B20</f>
        <v>System Boundary</v>
      </c>
      <c r="C6" s="295" t="str">
        <f>'Project Description'!C20</f>
        <v>Select Boundary</v>
      </c>
      <c r="D6" s="99"/>
      <c r="E6" s="99"/>
      <c r="F6" s="98" t="s">
        <v>583</v>
      </c>
      <c r="G6" s="37" t="s">
        <v>580</v>
      </c>
    </row>
    <row r="7" spans="1:7" x14ac:dyDescent="0.35">
      <c r="A7" s="14"/>
      <c r="B7" s="28" t="str">
        <f>'Project Description'!E11</f>
        <v>Base Year</v>
      </c>
      <c r="C7" s="295" t="str">
        <f>'Project Description'!F11</f>
        <v>Please Select Year</v>
      </c>
      <c r="D7" s="99"/>
      <c r="E7" s="99"/>
    </row>
    <row r="8" spans="1:7" x14ac:dyDescent="0.35">
      <c r="A8" s="14"/>
      <c r="B8" s="318" t="str">
        <f>'Project Description'!E12</f>
        <v xml:space="preserve">Reporting/Target Year </v>
      </c>
      <c r="C8" s="295" t="str">
        <f>'Project Description'!F12</f>
        <v>Please Select Year</v>
      </c>
      <c r="E8" s="136"/>
    </row>
    <row r="9" spans="1:7" x14ac:dyDescent="0.35">
      <c r="A9" s="14"/>
      <c r="B9" s="21"/>
      <c r="C9" s="189"/>
      <c r="E9" s="136"/>
    </row>
    <row r="10" spans="1:7" x14ac:dyDescent="0.35">
      <c r="A10" s="14"/>
      <c r="B10" s="24" t="s">
        <v>64</v>
      </c>
      <c r="C10" s="102" t="s">
        <v>53</v>
      </c>
      <c r="D10" s="102" t="s">
        <v>23</v>
      </c>
      <c r="E10" s="99"/>
    </row>
    <row r="11" spans="1:7" x14ac:dyDescent="0.35">
      <c r="A11" s="14"/>
      <c r="B11" s="135" t="str">
        <f>'GHG Impact - Baseline-Project'!B11</f>
        <v>Baseline Emissions</v>
      </c>
      <c r="C11" s="103">
        <f>'GHG Impact - Baseline-Project'!D11</f>
        <v>0</v>
      </c>
      <c r="D11" s="103">
        <f>'GHG Impact - Baseline-Project'!E11</f>
        <v>0</v>
      </c>
      <c r="E11" s="99"/>
    </row>
    <row r="12" spans="1:7" x14ac:dyDescent="0.35">
      <c r="A12" s="14"/>
      <c r="B12" s="135" t="str">
        <f>'GHG Impact - Annual'!B11</f>
        <v>Project-level Emissions</v>
      </c>
      <c r="C12" s="104">
        <f>'GHG Impact - Baseline-Project'!D12</f>
        <v>0</v>
      </c>
      <c r="D12" s="104">
        <f>'GHG Impact - Baseline-Project'!E12</f>
        <v>0</v>
      </c>
    </row>
    <row r="13" spans="1:7" x14ac:dyDescent="0.35">
      <c r="A13" s="14"/>
    </row>
    <row r="14" spans="1:7" x14ac:dyDescent="0.35">
      <c r="A14" s="14"/>
      <c r="B14" s="124" t="s">
        <v>596</v>
      </c>
      <c r="C14" s="239" t="s">
        <v>25</v>
      </c>
    </row>
    <row r="15" spans="1:7" x14ac:dyDescent="0.35">
      <c r="A15" s="14"/>
    </row>
    <row r="16" spans="1:7" x14ac:dyDescent="0.35">
      <c r="A16" s="14"/>
      <c r="B16" s="350" t="s">
        <v>602</v>
      </c>
      <c r="C16" s="350"/>
      <c r="D16" s="350"/>
      <c r="E16" s="17"/>
    </row>
    <row r="17" spans="1:11" x14ac:dyDescent="0.35">
      <c r="A17" s="14"/>
    </row>
    <row r="18" spans="1:11" x14ac:dyDescent="0.35">
      <c r="A18" s="14"/>
      <c r="B18" s="349" t="s">
        <v>393</v>
      </c>
      <c r="C18" s="349"/>
      <c r="D18" s="349"/>
      <c r="E18" s="131"/>
      <c r="I18" s="73"/>
      <c r="J18" s="73"/>
      <c r="K18" s="73"/>
    </row>
    <row r="19" spans="1:11" ht="85" customHeight="1" x14ac:dyDescent="0.35">
      <c r="A19" s="14"/>
      <c r="B19" s="325" t="s">
        <v>699</v>
      </c>
      <c r="C19" s="325"/>
      <c r="D19" s="325"/>
      <c r="E19" s="32"/>
      <c r="I19" s="73"/>
      <c r="J19" s="73"/>
      <c r="K19" s="73"/>
    </row>
    <row r="20" spans="1:11" x14ac:dyDescent="0.35">
      <c r="A20" s="14"/>
      <c r="B20" s="340" t="s">
        <v>595</v>
      </c>
      <c r="C20" s="340"/>
      <c r="D20" s="340"/>
      <c r="E20" s="131"/>
      <c r="I20" s="33"/>
      <c r="J20" s="33"/>
      <c r="K20" s="33"/>
    </row>
    <row r="21" spans="1:11" x14ac:dyDescent="0.35">
      <c r="A21" s="14"/>
      <c r="B21" s="27" t="s">
        <v>21</v>
      </c>
      <c r="C21" s="25" t="s">
        <v>601</v>
      </c>
      <c r="D21" s="27" t="s">
        <v>54</v>
      </c>
      <c r="E21" s="73"/>
      <c r="I21" s="33"/>
      <c r="J21" s="33"/>
      <c r="K21" s="33"/>
    </row>
    <row r="22" spans="1:11" x14ac:dyDescent="0.35">
      <c r="A22" s="14"/>
      <c r="B22" s="143" t="s">
        <v>597</v>
      </c>
      <c r="C22" s="288"/>
      <c r="D22" s="145" t="str">
        <f t="shared" ref="D22:D23" si="0">$C$14&amp;"/"&amp;$C$11 &amp; " "&amp;$D$11</f>
        <v>Select Option/0 0</v>
      </c>
      <c r="E22" s="18"/>
      <c r="I22" s="33"/>
      <c r="J22" s="33"/>
      <c r="K22" s="33"/>
    </row>
    <row r="23" spans="1:11" x14ac:dyDescent="0.35">
      <c r="A23" s="14"/>
      <c r="B23" s="143" t="s">
        <v>598</v>
      </c>
      <c r="C23" s="289"/>
      <c r="D23" s="145" t="str">
        <f t="shared" si="0"/>
        <v>Select Option/0 0</v>
      </c>
      <c r="E23" s="18"/>
    </row>
    <row r="24" spans="1:11" x14ac:dyDescent="0.35">
      <c r="A24" s="14"/>
      <c r="B24" s="143" t="s">
        <v>603</v>
      </c>
      <c r="C24" s="290"/>
      <c r="D24" s="145" t="str">
        <f>$C$14&amp;"/"&amp;$C$11 &amp; " "&amp;$D$11</f>
        <v>Select Option/0 0</v>
      </c>
      <c r="E24" s="18"/>
    </row>
    <row r="25" spans="1:11" x14ac:dyDescent="0.35">
      <c r="A25" s="14"/>
    </row>
    <row r="26" spans="1:11" x14ac:dyDescent="0.35">
      <c r="A26" s="14"/>
      <c r="B26" s="340" t="s">
        <v>599</v>
      </c>
      <c r="C26" s="340"/>
      <c r="D26" s="340"/>
      <c r="E26" s="131"/>
      <c r="I26" s="73"/>
      <c r="J26" s="73"/>
      <c r="K26" s="73"/>
    </row>
    <row r="27" spans="1:11" x14ac:dyDescent="0.35">
      <c r="A27" s="14"/>
      <c r="B27" s="27" t="s">
        <v>21</v>
      </c>
      <c r="C27" s="25" t="s">
        <v>601</v>
      </c>
      <c r="D27" s="27" t="s">
        <v>54</v>
      </c>
      <c r="E27" s="73"/>
      <c r="I27" s="33"/>
      <c r="J27" s="33"/>
      <c r="K27" s="33"/>
    </row>
    <row r="28" spans="1:11" x14ac:dyDescent="0.35">
      <c r="A28" s="14"/>
      <c r="B28" s="144" t="s">
        <v>600</v>
      </c>
      <c r="C28" s="291"/>
      <c r="D28" s="145" t="str">
        <f>$C$14&amp;"/"&amp;$C$11 &amp; " "&amp;$D$11</f>
        <v>Select Option/0 0</v>
      </c>
      <c r="E28" s="18"/>
      <c r="I28" s="33"/>
      <c r="J28" s="33"/>
      <c r="K28" s="33"/>
    </row>
    <row r="29" spans="1:11" ht="36" customHeight="1" x14ac:dyDescent="0.35">
      <c r="A29" s="14"/>
      <c r="D29" s="33"/>
      <c r="E29" s="33"/>
    </row>
    <row r="30" spans="1:11" x14ac:dyDescent="0.35">
      <c r="A30" s="14"/>
      <c r="B30" s="349" t="str">
        <f>IF('Project Description'!$C$19="Annual Reporting","Annual Inventory","Project-level Inventory")</f>
        <v>Project-level Inventory</v>
      </c>
      <c r="C30" s="349"/>
      <c r="D30" s="349"/>
      <c r="E30" s="131"/>
    </row>
    <row r="31" spans="1:11" ht="83.5" customHeight="1" x14ac:dyDescent="0.35">
      <c r="A31" s="14"/>
      <c r="B31" s="325" t="s">
        <v>652</v>
      </c>
      <c r="C31" s="325"/>
      <c r="D31" s="325"/>
      <c r="E31" s="32"/>
    </row>
    <row r="32" spans="1:11" x14ac:dyDescent="0.35">
      <c r="A32" s="14"/>
      <c r="B32" s="340" t="s">
        <v>595</v>
      </c>
      <c r="C32" s="340"/>
      <c r="D32" s="340"/>
      <c r="E32" s="131"/>
    </row>
    <row r="33" spans="1:5" x14ac:dyDescent="0.35">
      <c r="A33" s="14"/>
      <c r="B33" s="27" t="s">
        <v>21</v>
      </c>
      <c r="C33" s="25" t="s">
        <v>601</v>
      </c>
      <c r="D33" s="68" t="s">
        <v>54</v>
      </c>
      <c r="E33" s="73"/>
    </row>
    <row r="34" spans="1:5" ht="20.5" x14ac:dyDescent="0.35">
      <c r="A34" s="181"/>
      <c r="B34" s="143" t="s">
        <v>597</v>
      </c>
      <c r="C34" s="291"/>
      <c r="D34" s="45" t="str">
        <f>$C$14&amp;"/"&amp;$C$12&amp; " "&amp;$D$12</f>
        <v>Select Option/0 0</v>
      </c>
      <c r="E34" s="18"/>
    </row>
    <row r="35" spans="1:5" x14ac:dyDescent="0.35">
      <c r="A35" s="14"/>
      <c r="B35" s="143" t="s">
        <v>598</v>
      </c>
      <c r="C35" s="291"/>
      <c r="D35" s="45" t="str">
        <f t="shared" ref="D35:D36" si="1">$C$14&amp;"/"&amp;$C$12&amp; " "&amp;$D$12</f>
        <v>Select Option/0 0</v>
      </c>
      <c r="E35" s="18"/>
    </row>
    <row r="36" spans="1:5" x14ac:dyDescent="0.35">
      <c r="A36" s="14"/>
      <c r="B36" s="143" t="s">
        <v>603</v>
      </c>
      <c r="C36" s="290"/>
      <c r="D36" s="45" t="str">
        <f t="shared" si="1"/>
        <v>Select Option/0 0</v>
      </c>
      <c r="E36" s="18"/>
    </row>
    <row r="37" spans="1:5" x14ac:dyDescent="0.35">
      <c r="A37" s="14"/>
      <c r="D37" s="33"/>
      <c r="E37" s="33"/>
    </row>
    <row r="38" spans="1:5" x14ac:dyDescent="0.35">
      <c r="A38" s="14"/>
      <c r="B38" s="340" t="s">
        <v>599</v>
      </c>
      <c r="C38" s="340"/>
      <c r="D38" s="340"/>
      <c r="E38" s="131"/>
    </row>
    <row r="39" spans="1:5" x14ac:dyDescent="0.35">
      <c r="A39" s="14"/>
      <c r="B39" s="27" t="s">
        <v>21</v>
      </c>
      <c r="C39" s="25" t="s">
        <v>601</v>
      </c>
      <c r="D39" s="68" t="s">
        <v>54</v>
      </c>
      <c r="E39" s="73"/>
    </row>
    <row r="40" spans="1:5" x14ac:dyDescent="0.35">
      <c r="A40" s="14"/>
      <c r="B40" s="144" t="s">
        <v>600</v>
      </c>
      <c r="C40" s="291"/>
      <c r="D40" s="45" t="str">
        <f>$C$14&amp;"/"&amp;$C$12&amp; " "&amp;$D$12</f>
        <v>Select Option/0 0</v>
      </c>
      <c r="E40" s="18"/>
    </row>
    <row r="41" spans="1:5" x14ac:dyDescent="0.35">
      <c r="A41" s="14"/>
    </row>
    <row r="42" spans="1:5" x14ac:dyDescent="0.35">
      <c r="A42" s="14"/>
    </row>
    <row r="43" spans="1:5" x14ac:dyDescent="0.35">
      <c r="A43" s="14"/>
    </row>
    <row r="44" spans="1:5" x14ac:dyDescent="0.35">
      <c r="A44" s="14"/>
    </row>
    <row r="45" spans="1:5" x14ac:dyDescent="0.35">
      <c r="A45" s="14"/>
    </row>
  </sheetData>
  <sheetProtection algorithmName="SHA-512" hashValue="6n2QKfCIcPmjbdrHsM/lEhEPIFbHPlfIU/Anp/lQANSnm4dGyRQr3aSSpZED8Eyfc1Y+8xJDk/5bU3GP6GBUYw==" saltValue="ZsAKV++H29rpg5Th6mAh8w==" spinCount="100000" sheet="1" objects="1" scenarios="1"/>
  <mergeCells count="12">
    <mergeCell ref="B32:D32"/>
    <mergeCell ref="B38:D38"/>
    <mergeCell ref="B26:D26"/>
    <mergeCell ref="B20:D20"/>
    <mergeCell ref="B3:G3"/>
    <mergeCell ref="B19:D19"/>
    <mergeCell ref="B31:D31"/>
    <mergeCell ref="B1:G1"/>
    <mergeCell ref="B16:D16"/>
    <mergeCell ref="B30:D30"/>
    <mergeCell ref="B18:D18"/>
    <mergeCell ref="B2:G2"/>
  </mergeCells>
  <dataValidations count="2">
    <dataValidation type="list" allowBlank="1" showInputMessage="1" showErrorMessage="1" sqref="G6" xr:uid="{987AF4BC-8878-4F13-A722-0925DEE662D5}">
      <formula1>"Dropdown Cells"</formula1>
    </dataValidation>
    <dataValidation type="list" allowBlank="1" showInputMessage="1" showErrorMessage="1" sqref="C14" xr:uid="{C01C6116-9FE8-4153-A71B-5A7CEC873533}">
      <formula1>"Please Select Curreny, Euro (€), GBP (£), USD ($), INR (₹)"</formula1>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164EC-0318-46F5-9604-6A035EB1D36E}">
  <sheetPr codeName="Sheet13">
    <tabColor theme="8"/>
  </sheetPr>
  <dimension ref="A1:X44"/>
  <sheetViews>
    <sheetView showGridLines="0" tabSelected="1" topLeftCell="B1" zoomScale="55" zoomScaleNormal="55" workbookViewId="0">
      <selection activeCell="E9" sqref="E9"/>
    </sheetView>
  </sheetViews>
  <sheetFormatPr defaultRowHeight="15.5" x14ac:dyDescent="0.35"/>
  <cols>
    <col min="1" max="1" width="9.1796875" style="109" customWidth="1"/>
    <col min="2" max="2" width="44" style="109" customWidth="1"/>
    <col min="3" max="3" width="43.6328125" style="109" customWidth="1"/>
    <col min="4" max="4" width="37.6328125" style="109" bestFit="1" customWidth="1"/>
    <col min="5" max="5" width="38.36328125" style="109" customWidth="1"/>
    <col min="6" max="6" width="16.6328125" style="109" customWidth="1"/>
    <col min="7" max="7" width="54.81640625" style="109" customWidth="1"/>
    <col min="8" max="10" width="37.453125" style="109" customWidth="1"/>
    <col min="11" max="11" width="56.26953125" style="109" customWidth="1"/>
    <col min="12" max="12" width="23.7265625" style="109" customWidth="1"/>
    <col min="13" max="13" width="33.26953125" style="109" customWidth="1"/>
    <col min="14" max="16384" width="8.7265625" style="109"/>
  </cols>
  <sheetData>
    <row r="1" spans="1:24" s="14" customFormat="1" ht="73" customHeight="1" x14ac:dyDescent="0.35">
      <c r="A1" s="109"/>
      <c r="B1" s="331" t="s">
        <v>561</v>
      </c>
      <c r="C1" s="331"/>
      <c r="D1" s="331"/>
      <c r="E1" s="331"/>
      <c r="F1" s="331"/>
      <c r="G1" s="331"/>
      <c r="H1" s="331"/>
      <c r="I1" s="331"/>
      <c r="J1" s="331"/>
    </row>
    <row r="2" spans="1:24" ht="30" customHeight="1" x14ac:dyDescent="0.35">
      <c r="B2" s="352" t="s">
        <v>509</v>
      </c>
      <c r="C2" s="352"/>
      <c r="D2" s="352"/>
      <c r="E2" s="352"/>
      <c r="F2" s="352"/>
      <c r="G2" s="352"/>
      <c r="H2" s="352"/>
      <c r="I2" s="352"/>
      <c r="J2" s="352"/>
    </row>
    <row r="3" spans="1:24" ht="40" customHeight="1" x14ac:dyDescent="0.35">
      <c r="A3" s="181"/>
      <c r="B3" s="325" t="str">
        <f>'About this tool'!C53</f>
        <v>This sheet integrates GHG impact results with financial data to generate investor-relevant indicators. The outputs are designed to support investment analysis, reporting, and decision-making.</v>
      </c>
      <c r="C3" s="325"/>
      <c r="D3" s="325"/>
      <c r="E3" s="325"/>
      <c r="F3" s="325"/>
      <c r="G3" s="325"/>
      <c r="H3" s="325"/>
      <c r="I3" s="325"/>
      <c r="J3" s="325"/>
    </row>
    <row r="4" spans="1:24" ht="15.5" customHeight="1" x14ac:dyDescent="0.35">
      <c r="B4" s="137"/>
      <c r="C4" s="137"/>
      <c r="D4" s="137"/>
      <c r="E4" s="137"/>
    </row>
    <row r="5" spans="1:24" ht="18" x14ac:dyDescent="0.35">
      <c r="A5" s="14"/>
      <c r="B5" s="124" t="str">
        <f>'Project Description'!B19</f>
        <v>Scope</v>
      </c>
      <c r="C5" s="62" t="str">
        <f>'Project Description'!C19</f>
        <v>Select Scope</v>
      </c>
      <c r="D5" s="99"/>
      <c r="E5" s="99"/>
      <c r="I5" s="118" t="s">
        <v>579</v>
      </c>
      <c r="J5" s="119" t="s">
        <v>582</v>
      </c>
    </row>
    <row r="6" spans="1:24" s="13" customFormat="1" ht="36" x14ac:dyDescent="0.35">
      <c r="A6" s="33"/>
      <c r="B6" s="24" t="str">
        <f>'Project Description'!B20</f>
        <v>System Boundary</v>
      </c>
      <c r="C6" s="295" t="str">
        <f>'Project Description'!C20</f>
        <v>Select Boundary</v>
      </c>
      <c r="D6" s="99"/>
      <c r="E6" s="199"/>
      <c r="I6" s="45" t="s">
        <v>583</v>
      </c>
      <c r="J6" s="107" t="s">
        <v>580</v>
      </c>
    </row>
    <row r="7" spans="1:24" ht="22.5" customHeight="1" x14ac:dyDescent="0.35">
      <c r="A7" s="14"/>
      <c r="B7" s="24" t="str">
        <f>'Project Description'!E11</f>
        <v>Base Year</v>
      </c>
      <c r="C7" s="295" t="str">
        <f>'Project Description'!F11</f>
        <v>Please Select Year</v>
      </c>
      <c r="D7" s="99"/>
      <c r="E7" s="99"/>
      <c r="F7" s="14"/>
      <c r="G7" s="14"/>
    </row>
    <row r="8" spans="1:24" ht="22.5" customHeight="1" x14ac:dyDescent="0.35">
      <c r="A8" s="14"/>
      <c r="B8" s="24" t="str">
        <f>'Project Description'!E12</f>
        <v xml:space="preserve">Reporting/Target Year </v>
      </c>
      <c r="C8" s="295" t="str">
        <f>'Project Description'!F12</f>
        <v>Please Select Year</v>
      </c>
      <c r="D8" s="14"/>
      <c r="E8" s="136"/>
      <c r="F8" s="14"/>
      <c r="G8" s="14"/>
    </row>
    <row r="9" spans="1:24" ht="22.5" customHeight="1" x14ac:dyDescent="0.35">
      <c r="A9" s="14"/>
      <c r="B9" s="24" t="s">
        <v>64</v>
      </c>
      <c r="C9" s="102" t="s">
        <v>53</v>
      </c>
      <c r="D9" s="102" t="s">
        <v>23</v>
      </c>
      <c r="E9" s="99"/>
      <c r="F9" s="14"/>
      <c r="G9" s="14"/>
    </row>
    <row r="10" spans="1:24" ht="22.5" customHeight="1" x14ac:dyDescent="0.35">
      <c r="A10" s="14"/>
      <c r="B10" s="135" t="str">
        <f>'GHG Impact - Baseline-Project'!B11</f>
        <v>Baseline Emissions</v>
      </c>
      <c r="C10" s="103">
        <f>'GHG Impact - Baseline-Project'!D11</f>
        <v>0</v>
      </c>
      <c r="D10" s="103">
        <f>'GHG Impact - Baseline-Project'!E11</f>
        <v>0</v>
      </c>
      <c r="E10" s="99"/>
      <c r="F10" s="14"/>
      <c r="G10" s="101"/>
      <c r="H10" s="136"/>
      <c r="I10" s="136"/>
    </row>
    <row r="11" spans="1:24" ht="22.5" customHeight="1" x14ac:dyDescent="0.35">
      <c r="A11" s="14"/>
      <c r="B11" s="135" t="str">
        <f>'GHG Impact - Annual'!B11</f>
        <v>Project-level Emissions</v>
      </c>
      <c r="C11" s="104">
        <f>'GHG Impact - Baseline-Project'!D12</f>
        <v>0</v>
      </c>
      <c r="D11" s="104">
        <f>'GHG Impact - Baseline-Project'!E12</f>
        <v>0</v>
      </c>
      <c r="G11" s="38"/>
      <c r="H11" s="99"/>
      <c r="I11" s="99"/>
    </row>
    <row r="12" spans="1:24" ht="22.5" customHeight="1" x14ac:dyDescent="0.35">
      <c r="A12" s="14"/>
      <c r="B12" s="41"/>
      <c r="C12" s="99"/>
      <c r="D12" s="99"/>
      <c r="G12" s="38"/>
      <c r="H12" s="99"/>
      <c r="I12" s="99"/>
    </row>
    <row r="13" spans="1:24" ht="22.5" customHeight="1" x14ac:dyDescent="0.35">
      <c r="A13" s="14"/>
      <c r="B13" s="97" t="s">
        <v>596</v>
      </c>
      <c r="C13" s="48" t="str">
        <f>'Investor Inventory'!$C$14</f>
        <v>Select Option</v>
      </c>
      <c r="G13" s="38"/>
      <c r="H13" s="99"/>
      <c r="I13" s="99"/>
    </row>
    <row r="14" spans="1:24" ht="22.5" customHeight="1" x14ac:dyDescent="0.35">
      <c r="A14" s="14"/>
      <c r="B14" s="101"/>
      <c r="C14" s="16"/>
    </row>
    <row r="15" spans="1:24" ht="39.5" customHeight="1" x14ac:dyDescent="0.35">
      <c r="A15" s="14"/>
      <c r="B15" s="24" t="s">
        <v>676</v>
      </c>
      <c r="C15" s="340" t="s">
        <v>677</v>
      </c>
      <c r="D15" s="340"/>
      <c r="E15" s="340"/>
      <c r="F15" s="340"/>
      <c r="G15" s="340"/>
      <c r="H15" s="340" t="s">
        <v>678</v>
      </c>
      <c r="I15" s="340"/>
      <c r="J15" s="340"/>
    </row>
    <row r="16" spans="1:24" s="14" customFormat="1" ht="32.5" customHeight="1" x14ac:dyDescent="0.35">
      <c r="B16" s="24" t="s">
        <v>616</v>
      </c>
      <c r="C16" s="328" t="str">
        <f>'About this tool'!C27</f>
        <v>Quantifies the absolute and comparative greenhouse gas emissions of the project, including emissions generated annually and/or emissions reduced or avoided relative to a baseline scenario.</v>
      </c>
      <c r="D16" s="496"/>
      <c r="E16" s="496"/>
      <c r="F16" s="496"/>
      <c r="G16" s="496"/>
      <c r="H16" s="496"/>
      <c r="I16" s="496"/>
      <c r="J16" s="327"/>
      <c r="K16" s="33"/>
      <c r="L16" s="33"/>
      <c r="M16" s="33"/>
      <c r="N16" s="33"/>
      <c r="O16" s="33"/>
      <c r="P16" s="33"/>
      <c r="Q16" s="33"/>
      <c r="R16" s="33"/>
      <c r="S16" s="33"/>
      <c r="T16" s="33"/>
      <c r="U16" s="33"/>
      <c r="V16" s="33"/>
      <c r="W16" s="33"/>
      <c r="X16" s="33"/>
    </row>
    <row r="17" spans="1:24" s="14" customFormat="1" ht="94.5" customHeight="1" x14ac:dyDescent="0.35">
      <c r="B17" s="111" t="s">
        <v>710</v>
      </c>
      <c r="C17" s="323" t="str">
        <f>'About this tool'!C28</f>
        <v>Total GHG emissions associated with the baseline and annual/project scenario, normalised per functional or declared unit (FU). 
GHG emissions (kg-CO₂ eq/FU) = Activity data (units/FU) x Emission Factor (EF) (kg-CO₂ eq/units)
Total GHG emissions (kg-CO₂ eq/FU) = Total project GHG emissions (kg-CO₂ eq) / Functional or Declared Units</v>
      </c>
      <c r="D17" s="323"/>
      <c r="E17" s="323"/>
      <c r="F17" s="323"/>
      <c r="G17" s="328"/>
      <c r="H17" s="323" t="str">
        <f>'About this tool'!D28</f>
        <v>The absolute climate footprint in relation to the functional unit (FU)
(e.g. 1 kg of straws, 1,000 straws, 1 service delivered)</v>
      </c>
      <c r="I17" s="323"/>
      <c r="J17" s="323"/>
      <c r="K17" s="33"/>
      <c r="L17" s="33"/>
      <c r="M17" s="33"/>
      <c r="N17" s="33"/>
      <c r="O17" s="33"/>
      <c r="P17" s="33"/>
      <c r="Q17" s="33"/>
      <c r="R17" s="33"/>
      <c r="S17" s="33"/>
      <c r="T17" s="33"/>
      <c r="U17" s="33"/>
      <c r="V17" s="33"/>
      <c r="W17" s="33"/>
      <c r="X17" s="33"/>
    </row>
    <row r="18" spans="1:24" s="14" customFormat="1" ht="97" customHeight="1" x14ac:dyDescent="0.35">
      <c r="B18" s="111" t="s">
        <v>709</v>
      </c>
      <c r="C18" s="323" t="str">
        <f>'About this tool'!C29</f>
        <v>The reduction or avoidance of GHG emissions achieved by the project compared to the baseline scenario, expressed per functional or declared unit. 
Emissions reduced or avoided (kg-CO₂ eq/FU) = Baseline emissions - Project emissions / Functional or Declared Units</v>
      </c>
      <c r="D18" s="323"/>
      <c r="E18" s="323"/>
      <c r="F18" s="323"/>
      <c r="G18" s="328"/>
      <c r="H18" s="323" t="str">
        <f>'About this tool'!D29</f>
        <v>The climate benefit of switching from the baseline to the project
- Positive value = climate benefit (or) net emissions reduced/avoided 
- Zero = no climate advantage
- Negative = worse than baseline (or) net added emissions of the project</v>
      </c>
      <c r="I18" s="323"/>
      <c r="J18" s="323"/>
      <c r="K18" s="33"/>
      <c r="L18" s="33"/>
      <c r="M18" s="33"/>
      <c r="N18" s="33"/>
      <c r="O18" s="33"/>
      <c r="P18" s="33"/>
      <c r="Q18" s="33"/>
      <c r="R18" s="33"/>
      <c r="S18" s="33"/>
      <c r="T18" s="33"/>
      <c r="U18" s="33"/>
      <c r="V18" s="33"/>
      <c r="W18" s="33"/>
      <c r="X18" s="33"/>
    </row>
    <row r="19" spans="1:24" s="14" customFormat="1" ht="32.5" customHeight="1" x14ac:dyDescent="0.35">
      <c r="B19" s="24" t="s">
        <v>617</v>
      </c>
      <c r="C19" s="328" t="str">
        <f>'About this tool'!C30</f>
        <v>Metrics that quantify the absolute and comparative greenhouse gas emissions of the project, including emissions generated and emissions reduced or avoided relative to a baseline scenario.</v>
      </c>
      <c r="D19" s="496"/>
      <c r="E19" s="496"/>
      <c r="F19" s="496"/>
      <c r="G19" s="496"/>
      <c r="H19" s="496"/>
      <c r="I19" s="496"/>
      <c r="J19" s="327"/>
      <c r="K19" s="33"/>
      <c r="L19" s="33"/>
      <c r="M19" s="33"/>
      <c r="N19" s="33"/>
      <c r="O19" s="33"/>
      <c r="P19" s="33"/>
      <c r="Q19" s="33"/>
      <c r="R19" s="33"/>
      <c r="S19" s="33"/>
      <c r="T19" s="33"/>
      <c r="U19" s="33"/>
      <c r="V19" s="33"/>
      <c r="W19" s="33"/>
      <c r="X19" s="33"/>
    </row>
    <row r="20" spans="1:24" s="14" customFormat="1" ht="94.5" customHeight="1" x14ac:dyDescent="0.35">
      <c r="B20" s="111" t="s">
        <v>707</v>
      </c>
      <c r="C20" s="323" t="str">
        <f>'About this tool'!C31</f>
        <v>The amount of GHG emissions associated with each unit of cost, indicating how efficiently financial resources are used from a carbon perspective. 
GHG Emissions efficiency = Project GHG emissions (kg-CO₂ eq/FU) / Cost per FU</v>
      </c>
      <c r="D20" s="323"/>
      <c r="E20" s="323"/>
      <c r="F20" s="323"/>
      <c r="G20" s="328"/>
      <c r="H20" s="323" t="str">
        <f>'About this tool'!D31</f>
        <v xml:space="preserve">How much carbon is emitted per unit of money spent. 
Lower the better. Lower value means:
- Less emissions per monetary value invested
- Better climate performance per monetary value </v>
      </c>
      <c r="I20" s="323"/>
      <c r="J20" s="323"/>
      <c r="K20" s="33"/>
      <c r="L20" s="33"/>
      <c r="M20" s="33"/>
      <c r="N20" s="33"/>
      <c r="O20" s="33"/>
      <c r="P20" s="33"/>
      <c r="Q20" s="33"/>
      <c r="R20" s="33"/>
      <c r="S20" s="33"/>
      <c r="T20" s="33"/>
      <c r="U20" s="33"/>
      <c r="V20" s="33"/>
      <c r="W20" s="33"/>
      <c r="X20" s="33"/>
    </row>
    <row r="21" spans="1:24" s="14" customFormat="1" ht="94.5" customHeight="1" x14ac:dyDescent="0.35">
      <c r="B21" s="111" t="s">
        <v>708</v>
      </c>
      <c r="C21" s="323" t="str">
        <f>'About this tool'!C32</f>
        <v>The GHG emissions generated per unit of revenue, showing the GHG emissions footprint relative to economic output.
GHG Emissions intensity = Project GHG emissions (kg-CO₂ eq/FU) / Revenue per FU</v>
      </c>
      <c r="D21" s="323"/>
      <c r="E21" s="323"/>
      <c r="F21" s="323"/>
      <c r="G21" s="328"/>
      <c r="H21" s="323" t="str">
        <f>'About this tool'!D32</f>
        <v>GHG emissions generated per unit of revenue earned. 
Lower the better. Lower value means:
- More revenue generated per kg CO₂ eq
- Cleaner business model economically</v>
      </c>
      <c r="I21" s="323"/>
      <c r="J21" s="323"/>
      <c r="K21" s="33"/>
      <c r="L21" s="33"/>
      <c r="M21" s="33"/>
      <c r="N21" s="33"/>
      <c r="O21" s="33"/>
      <c r="P21" s="33"/>
      <c r="Q21" s="33"/>
      <c r="R21" s="33"/>
      <c r="S21" s="33"/>
      <c r="T21" s="33"/>
      <c r="U21" s="33"/>
      <c r="V21" s="33"/>
      <c r="W21" s="33"/>
      <c r="X21" s="33"/>
    </row>
    <row r="22" spans="1:24" ht="27.5" customHeight="1" x14ac:dyDescent="0.35">
      <c r="A22" s="14"/>
    </row>
    <row r="23" spans="1:24" ht="21.5" customHeight="1" x14ac:dyDescent="0.35">
      <c r="A23" s="14"/>
      <c r="B23" s="352" t="s">
        <v>590</v>
      </c>
      <c r="C23" s="352"/>
      <c r="D23" s="352"/>
      <c r="E23" s="352"/>
      <c r="G23" s="352" t="s">
        <v>650</v>
      </c>
      <c r="H23" s="352"/>
      <c r="I23" s="352"/>
      <c r="J23" s="352"/>
    </row>
    <row r="24" spans="1:24" ht="67" customHeight="1" x14ac:dyDescent="0.35">
      <c r="A24" s="14"/>
      <c r="G24" s="485" t="str">
        <f>"Note:
Positive (+ ve) value = the net GHG savings/reduction of the project when compared to the baseline.
Negative (- ve) value = the added GHG emissions of the project when compared to the baseline."</f>
        <v>Note:
Positive (+ ve) value = the net GHG savings/reduction of the project when compared to the baseline.
Negative (- ve) value = the added GHG emissions of the project when compared to the baseline.</v>
      </c>
      <c r="H24" s="485"/>
      <c r="I24" s="485"/>
      <c r="J24" s="485"/>
    </row>
    <row r="25" spans="1:24" ht="61" customHeight="1" x14ac:dyDescent="0.35">
      <c r="A25" s="14"/>
      <c r="B25" s="27" t="s">
        <v>604</v>
      </c>
      <c r="C25" s="148" t="str">
        <f>"GHG (CO₂ eq) Emissions
(kg-CO₂ eq/"&amp;$C$11&amp; " " &amp;$D$11 &amp; ")"</f>
        <v>GHG (CO₂ eq) Emissions
(kg-CO₂ eq/0 0)</v>
      </c>
      <c r="D25" s="68" t="str">
        <f>"GHG (CO₂ eq) Efficiency
(kg-CO₂eq/Total Cost - " &amp;$C$13 &amp;")"</f>
        <v>GHG (CO₂ eq) Efficiency
(kg-CO₂eq/Total Cost - Select Option)</v>
      </c>
      <c r="E25" s="68" t="str">
        <f>"GHG (CO₂ eq) Intensity
(kg-CO₂eq/ Total Revenue - " &amp;$C$13 &amp;")"</f>
        <v>GHG (CO₂ eq) Intensity
(kg-CO₂eq/ Total Revenue - Select Option)</v>
      </c>
      <c r="G25" s="27" t="s">
        <v>604</v>
      </c>
      <c r="H25" s="148" t="s">
        <v>834</v>
      </c>
      <c r="I25" s="68" t="str">
        <f>"GHG (CO₂ eq) Efficiency
(kg-CO₂eq/Total Cost - " &amp;$C$13 &amp;")"</f>
        <v>GHG (CO₂ eq) Efficiency
(kg-CO₂eq/Total Cost - Select Option)</v>
      </c>
      <c r="J25" s="68" t="str">
        <f>"GHG (CO₂ eq) Intensity
(kg-CO₂eq/Total Revenue - " &amp;$C$13 &amp;")"</f>
        <v>GHG (CO₂ eq) Intensity
(kg-CO₂eq/Total Revenue - Select Option)</v>
      </c>
    </row>
    <row r="26" spans="1:24" ht="25" customHeight="1" x14ac:dyDescent="0.35">
      <c r="A26" s="14"/>
      <c r="B26" s="144" t="s">
        <v>651</v>
      </c>
      <c r="C26" s="190" t="str">
        <f>IF(C5="Annual Reporting",'GHG Impact - Annual'!D16," ")</f>
        <v xml:space="preserve"> </v>
      </c>
      <c r="D26" s="190" t="str">
        <f>IF(C5="Annual Reporting", C26/'Investor Inventory'!C28," ")</f>
        <v xml:space="preserve"> </v>
      </c>
      <c r="E26" s="190" t="str">
        <f>IF(C5="Annual Reporting", C26/'Investor Inventory'!C40, " ")</f>
        <v xml:space="preserve"> </v>
      </c>
      <c r="G26" s="144" t="s">
        <v>606</v>
      </c>
      <c r="H26" s="190" t="e">
        <f>IF(C5="Annual Reporting", " ", 'GHG Impact - Baseline-Project'!D26)</f>
        <v>#VALUE!</v>
      </c>
      <c r="I26" s="190" t="e">
        <f>H26/'Investor Inventory'!C24</f>
        <v>#VALUE!</v>
      </c>
      <c r="J26" s="190" t="e">
        <f>H26/'Investor Inventory'!C28</f>
        <v>#VALUE!</v>
      </c>
      <c r="L26" s="293"/>
      <c r="M26" s="293"/>
    </row>
    <row r="27" spans="1:24" ht="18" x14ac:dyDescent="0.35">
      <c r="A27" s="14"/>
      <c r="G27" s="144" t="s">
        <v>605</v>
      </c>
      <c r="H27" s="190" t="e">
        <f>IF(C5="Annual Reporting", " ", 'GHG Impact - Baseline-Project'!D27)</f>
        <v>#VALUE!</v>
      </c>
      <c r="I27" s="292" t="e">
        <f>H27/'Investor Inventory'!C36</f>
        <v>#VALUE!</v>
      </c>
      <c r="J27" s="190" t="e">
        <f>H27/'Investor Inventory'!C40</f>
        <v>#VALUE!</v>
      </c>
      <c r="L27" s="293"/>
      <c r="M27" s="293"/>
    </row>
    <row r="28" spans="1:24" ht="18" x14ac:dyDescent="0.35">
      <c r="A28" s="14"/>
      <c r="B28" s="498"/>
      <c r="C28" s="498"/>
      <c r="E28" s="17"/>
      <c r="G28" s="14"/>
      <c r="H28" s="191"/>
      <c r="I28" s="191"/>
      <c r="J28" s="191"/>
      <c r="L28" s="293"/>
      <c r="M28" s="293"/>
    </row>
    <row r="29" spans="1:24" ht="18" x14ac:dyDescent="0.35">
      <c r="A29" s="14"/>
      <c r="B29" s="17"/>
      <c r="C29" s="17"/>
      <c r="D29" s="136"/>
      <c r="E29" s="17"/>
      <c r="G29" s="26" t="s">
        <v>607</v>
      </c>
      <c r="H29" s="192" t="e">
        <f>ROUNDUP((H26-H27),3)</f>
        <v>#VALUE!</v>
      </c>
      <c r="I29" s="192" t="e">
        <f>ROUNDUP((I26-I27),3)</f>
        <v>#VALUE!</v>
      </c>
      <c r="J29" s="192" t="e">
        <f>ROUNDUP((J26-J27),3)</f>
        <v>#VALUE!</v>
      </c>
      <c r="L29" s="293"/>
      <c r="M29" s="293"/>
    </row>
    <row r="30" spans="1:24" ht="18" x14ac:dyDescent="0.35">
      <c r="A30" s="14"/>
      <c r="G30" s="14"/>
      <c r="H30" s="191"/>
      <c r="I30" s="191"/>
      <c r="J30" s="191"/>
      <c r="L30" s="293"/>
      <c r="M30" s="293"/>
    </row>
    <row r="31" spans="1:24" ht="18" x14ac:dyDescent="0.35">
      <c r="A31" s="14"/>
      <c r="B31" s="498"/>
      <c r="C31" s="498"/>
      <c r="D31" s="212"/>
      <c r="E31" s="17"/>
      <c r="G31" s="299" t="s">
        <v>464</v>
      </c>
      <c r="H31" s="499" t="str">
        <f>'GHG Impact - Baseline-Project'!D31</f>
        <v>-</v>
      </c>
      <c r="I31" s="500"/>
      <c r="J31" s="501"/>
      <c r="L31" s="293"/>
      <c r="M31" s="293"/>
    </row>
    <row r="32" spans="1:24" ht="18" x14ac:dyDescent="0.35">
      <c r="A32" s="14"/>
      <c r="G32" s="96" t="s">
        <v>695</v>
      </c>
      <c r="H32" s="192" t="e">
        <f>IF(H31=FALSE, 0, ROUNDUP($H$29-($H$29*$H$31),3))</f>
        <v>#VALUE!</v>
      </c>
      <c r="I32" s="192" t="e">
        <f>IF(H31=FALSE, 0, ROUNDUP($I$29-($I$29*$H$31),3))</f>
        <v>#VALUE!</v>
      </c>
      <c r="J32" s="192" t="e">
        <f>IF(H31=FALSE, 0, ROUNDUP($J$29-($J$29*$H$31),3))</f>
        <v>#VALUE!</v>
      </c>
      <c r="L32" s="293"/>
      <c r="M32" s="293"/>
    </row>
    <row r="33" spans="1:10" ht="20.5" x14ac:dyDescent="0.35">
      <c r="A33" s="181"/>
      <c r="G33" s="14"/>
      <c r="H33" s="14"/>
      <c r="I33" s="14"/>
      <c r="J33" s="14"/>
    </row>
    <row r="34" spans="1:10" ht="18" x14ac:dyDescent="0.35">
      <c r="A34" s="14"/>
      <c r="B34" s="497" t="s">
        <v>679</v>
      </c>
      <c r="C34" s="497"/>
      <c r="D34" s="497"/>
      <c r="E34" s="497"/>
      <c r="G34" s="497" t="s">
        <v>679</v>
      </c>
      <c r="H34" s="497"/>
      <c r="I34" s="497"/>
      <c r="J34" s="497"/>
    </row>
    <row r="35" spans="1:10" s="13" customFormat="1" ht="50" customHeight="1" x14ac:dyDescent="0.35">
      <c r="A35" s="33"/>
      <c r="B35" s="325" t="str">
        <f>"For the reporting year " &amp;$C$8 &amp; " and within the system boundary - " &amp;$C$6 &amp; ", The project/organization has,"</f>
        <v>For the reporting year Please Select Year and within the system boundary - Select Boundary, The project/organization has,</v>
      </c>
      <c r="C35" s="325"/>
      <c r="D35" s="325"/>
      <c r="E35" s="325"/>
      <c r="G35" s="325" t="str">
        <f>"For the base year - " &amp;$C$7 &amp;" and reporting year - " &amp;$C$8 &amp; " and within the system boundary - " &amp;$C$6 &amp; ", when compared with the baseline scenario, the project/organization level scenario has, "</f>
        <v xml:space="preserve">For the base year - Please Select Year and reporting year - Please Select Year and within the system boundary - Select Boundary, when compared with the baseline scenario, the project/organization level scenario has, </v>
      </c>
      <c r="H35" s="325"/>
      <c r="I35" s="325"/>
      <c r="J35" s="325"/>
    </row>
    <row r="36" spans="1:10" s="13" customFormat="1" ht="18" x14ac:dyDescent="0.35">
      <c r="A36" s="33"/>
      <c r="B36" s="325" t="e">
        <f>"- Absolute carbon footprint of "&amp;ROUNDUP($C$26,3) &amp;" "&amp;"kg-CO₂ eq/"&amp;$C$11&amp;" "&amp;$D$11&amp;"."</f>
        <v>#VALUE!</v>
      </c>
      <c r="C36" s="325"/>
      <c r="D36" s="325"/>
      <c r="E36" s="325"/>
      <c r="G36" s="325" t="e">
        <f>"- Absolute GHG emissions avoidance/reduction of "&amp;IF('GHG Impact - Baseline-Project'!$D$17="Yes",ROUNDUP($H$32,3),ROUNDUP($H$29,3))&amp;" "&amp;"kg-CO₂ eq/per FU."</f>
        <v>#VALUE!</v>
      </c>
      <c r="H36" s="325"/>
      <c r="I36" s="325"/>
      <c r="J36" s="325"/>
    </row>
    <row r="37" spans="1:10" s="13" customFormat="1" ht="18" x14ac:dyDescent="0.35">
      <c r="A37" s="33"/>
      <c r="B37" s="325" t="e">
        <f>"- Carbon efficiency of "&amp;ROUNDUP($D$26,3) &amp;" "&amp;"kg-CO₂e/Total Cost - " &amp;$C$13 &amp;", indicating the amount of emissions generated per " &amp;$C$13 &amp;" spent."</f>
        <v>#VALUE!</v>
      </c>
      <c r="C37" s="325"/>
      <c r="D37" s="325"/>
      <c r="E37" s="325"/>
      <c r="G37" s="325" t="e">
        <f>"- GHG efficiency of "&amp;IF('GHG Impact - Baseline-Project'!$D$17="Yes",ROUNDUP($I$32,3),ROUNDUP($I$29,3)) &amp;" "&amp;"kg-CO₂e/Total Cost - " &amp;$C$13 &amp;", indicating the difference in GHG emissions generated per " &amp;$C$13 &amp;" spent."</f>
        <v>#VALUE!</v>
      </c>
      <c r="H37" s="325"/>
      <c r="I37" s="325"/>
      <c r="J37" s="325"/>
    </row>
    <row r="38" spans="1:10" s="13" customFormat="1" ht="18" x14ac:dyDescent="0.35">
      <c r="A38" s="33"/>
      <c r="B38" s="325" t="e">
        <f>"- GHG emissions intensity of "&amp;ROUNDUP($E$26,3) &amp;" "&amp;"kg-CO₂e/Total Revenue - " &amp;$C$13 &amp;", indicating the " &amp;$C$13 &amp;" economic value generated per unit of carbon emitted."</f>
        <v>#VALUE!</v>
      </c>
      <c r="C38" s="325"/>
      <c r="D38" s="325"/>
      <c r="E38" s="325"/>
      <c r="G38" s="325" t="e">
        <f>"- GHG emissions intensity of "&amp;IF('GHG Impact - Baseline-Project'!$D$17="Yes",ROUNDUP($J$32,3),ROUNDUP($J$29,3)) &amp;" "&amp;"kg-CO₂e/Total Revenue - " &amp;$C$13 &amp;", indicating the difference in " &amp;$C$13 &amp;" economic value generated per unit of carbon emitted."</f>
        <v>#VALUE!</v>
      </c>
      <c r="H38" s="325"/>
      <c r="I38" s="325"/>
      <c r="J38" s="325"/>
    </row>
    <row r="39" spans="1:10" ht="18" x14ac:dyDescent="0.35">
      <c r="A39" s="14"/>
    </row>
    <row r="40" spans="1:10" ht="18" x14ac:dyDescent="0.35">
      <c r="A40" s="14"/>
    </row>
    <row r="41" spans="1:10" ht="18" x14ac:dyDescent="0.35">
      <c r="A41" s="14"/>
    </row>
    <row r="42" spans="1:10" ht="18" x14ac:dyDescent="0.35">
      <c r="A42" s="14"/>
    </row>
    <row r="43" spans="1:10" ht="18" x14ac:dyDescent="0.35">
      <c r="A43" s="14"/>
    </row>
    <row r="44" spans="1:10" ht="18" x14ac:dyDescent="0.35">
      <c r="A44" s="14"/>
    </row>
  </sheetData>
  <sheetProtection algorithmName="SHA-512" hashValue="fWfgTi01qcWFihrOnautVnpkR2xvMs3Wt05RLluaBd0jRpUduElRwbKLMbUvBg+3e/OuvAqGv1NkSZRfnqXqjA==" saltValue="QDEj6ScfZwhw8kN8yRB3uQ==" spinCount="100000" sheet="1" scenarios="1"/>
  <mergeCells count="31">
    <mergeCell ref="G24:J24"/>
    <mergeCell ref="G34:J34"/>
    <mergeCell ref="B34:E34"/>
    <mergeCell ref="B35:E35"/>
    <mergeCell ref="G35:J35"/>
    <mergeCell ref="B28:C28"/>
    <mergeCell ref="B31:C31"/>
    <mergeCell ref="H31:J31"/>
    <mergeCell ref="B37:E37"/>
    <mergeCell ref="B38:E38"/>
    <mergeCell ref="G36:J36"/>
    <mergeCell ref="G37:J37"/>
    <mergeCell ref="G38:J38"/>
    <mergeCell ref="B36:E36"/>
    <mergeCell ref="C15:G15"/>
    <mergeCell ref="H15:J15"/>
    <mergeCell ref="C16:J16"/>
    <mergeCell ref="B1:J1"/>
    <mergeCell ref="B2:J2"/>
    <mergeCell ref="B3:J3"/>
    <mergeCell ref="B23:E23"/>
    <mergeCell ref="G23:J23"/>
    <mergeCell ref="C17:G17"/>
    <mergeCell ref="C18:G18"/>
    <mergeCell ref="C20:G20"/>
    <mergeCell ref="C21:G21"/>
    <mergeCell ref="H18:J18"/>
    <mergeCell ref="H20:J20"/>
    <mergeCell ref="H21:J21"/>
    <mergeCell ref="C19:J19"/>
    <mergeCell ref="H17:J17"/>
  </mergeCells>
  <conditionalFormatting sqref="D31">
    <cfRule type="cellIs" dxfId="2" priority="12" operator="lessThan">
      <formula>0</formula>
    </cfRule>
  </conditionalFormatting>
  <conditionalFormatting sqref="H29:J29 H32:J32">
    <cfRule type="cellIs" dxfId="1" priority="2" operator="greaterThan">
      <formula>0</formula>
    </cfRule>
    <cfRule type="cellIs" dxfId="0" priority="1" operator="lessThan">
      <formula>0</formula>
    </cfRule>
  </conditionalFormatting>
  <dataValidations disablePrompts="1" count="1">
    <dataValidation type="list" allowBlank="1" showInputMessage="1" showErrorMessage="1" sqref="J6" xr:uid="{F0BBE544-9CCA-49C5-9AD5-9568B61D29F6}">
      <formula1>"Dropdown Cells"</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About this tool</vt:lpstr>
      <vt:lpstr>Glossary</vt:lpstr>
      <vt:lpstr>Tool - Reference</vt:lpstr>
      <vt:lpstr>Tool - EFs &amp; Helpers</vt:lpstr>
      <vt:lpstr>Company - TOC</vt:lpstr>
      <vt:lpstr>Project Description</vt:lpstr>
      <vt:lpstr>Baseline Inventory</vt:lpstr>
      <vt:lpstr>Baseline Emissions</vt:lpstr>
      <vt:lpstr>Annual (or) Project Inventory</vt:lpstr>
      <vt:lpstr>Annual (or) Project Emissions</vt:lpstr>
      <vt:lpstr>GHG Impact - Annual</vt:lpstr>
      <vt:lpstr>GHG Impact - Baseline-Project</vt:lpstr>
      <vt:lpstr>Investor Inventory</vt:lpstr>
      <vt:lpstr>Investor Ready Impact Results</vt:lpstr>
      <vt:lpstr>Material_PTypet</vt:lpstr>
      <vt:lpstr>time</vt:lpstr>
      <vt:lpstr>Vehicle_PCategory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Aravindh Venkatraman</cp:lastModifiedBy>
  <dcterms:created xsi:type="dcterms:W3CDTF">2015-06-05T18:17:20Z</dcterms:created>
  <dcterms:modified xsi:type="dcterms:W3CDTF">2026-03-16T08:45:01Z</dcterms:modified>
</cp:coreProperties>
</file>